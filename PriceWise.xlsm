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alaj\OneDrive\Documents\Price List Auto\"/>
    </mc:Choice>
  </mc:AlternateContent>
  <xr:revisionPtr revIDLastSave="0" documentId="13_ncr:1_{059EA9DF-1395-496F-95D4-32C243E757A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ndex" sheetId="9" r:id="rId1"/>
    <sheet name="Master" sheetId="1" r:id="rId2"/>
    <sheet name="ProdMast" sheetId="8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2" hidden="1">ProdMast!$A$1:$K$280</definedName>
  </definedNames>
  <calcPr calcId="191029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" i="8"/>
  <c r="D280" i="8" l="1"/>
  <c r="E280" i="8"/>
  <c r="F280" i="8"/>
  <c r="G280" i="8"/>
  <c r="I280" i="8"/>
  <c r="J280" i="8"/>
  <c r="K280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" i="8"/>
  <c r="I3" i="8" l="1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J2" i="8"/>
  <c r="G2" i="8"/>
  <c r="F2" i="8"/>
  <c r="E2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2" i="8"/>
  <c r="A40" i="1" l="1" a="1"/>
  <c r="A40" i="1" s="1"/>
  <c r="A26" i="1" l="1" a="1"/>
  <c r="A26" i="1" s="1"/>
  <c r="A19" i="1" a="1"/>
  <c r="A19" i="1" s="1"/>
  <c r="A5" i="1" l="1" a="1"/>
  <c r="A5" i="1" s="1"/>
  <c r="A12" i="1" l="1" a="1"/>
  <c r="A1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40CC4C-4251-40CF-8853-79A840C28BA0}" keepAlive="1" name="Query - Agastya" description="Connection to the 'Agastya' query in the workbook." type="5" refreshedVersion="8" background="1" saveData="1">
    <dbPr connection="Provider=Microsoft.Mashup.OleDb.1;Data Source=$Workbook$;Location=Agastya;Extended Properties=&quot;&quot;" command="SELECT * FROM [Agastya]"/>
  </connection>
  <connection id="2" xr16:uid="{45061B4E-23CC-4F51-B082-9574ACD513A9}" keepAlive="1" name="Query - Axis" description="Connection to the 'Axis' query in the workbook." type="5" refreshedVersion="8" background="1" saveData="1">
    <dbPr connection="Provider=Microsoft.Mashup.OleDb.1;Data Source=$Workbook$;Location=Axis;Extended Properties=&quot;&quot;" command="SELECT * FROM [Axis]"/>
  </connection>
  <connection id="3" xr16:uid="{A0DC0A5F-C9AA-4E6B-88DE-7D7FD4276B53}" keepAlive="1" name="Query - Ichiban" description="Connection to the 'Ichiban' query in the workbook." type="5" refreshedVersion="8" background="1" saveData="1">
    <dbPr connection="Provider=Microsoft.Mashup.OleDb.1;Data Source=$Workbook$;Location=Ichiban;Extended Properties=&quot;&quot;" command="SELECT * FROM [Ichiban]"/>
  </connection>
  <connection id="4" xr16:uid="{CAA2689A-2125-4355-A670-182DE6DBA5DF}" keepAlive="1" name="Query - Sandhya" description="Connection to the 'Sandhya' query in the workbook." type="5" refreshedVersion="8" background="1" saveData="1">
    <dbPr connection="Provider=Microsoft.Mashup.OleDb.1;Data Source=$Workbook$;Location=Sandhya;Extended Properties=&quot;&quot;" command="SELECT * FROM [Sandhy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<sst xmlns="http://schemas.openxmlformats.org/spreadsheetml/2006/main" count="362" uniqueCount="334">
  <si>
    <t>Technical</t>
  </si>
  <si>
    <t>Product Name</t>
  </si>
  <si>
    <t>Packing</t>
  </si>
  <si>
    <t>Unit Price</t>
  </si>
  <si>
    <t>GST %</t>
  </si>
  <si>
    <t>GST</t>
  </si>
  <si>
    <t>With GST</t>
  </si>
  <si>
    <t>Emamectin 5% + Lufenuron 40% WG</t>
  </si>
  <si>
    <t>Chlorantraniliprole 9.3% + Lambdacyhalothrin 4.6% ZC</t>
  </si>
  <si>
    <t>Flubendiamide 39.35% SC</t>
  </si>
  <si>
    <t>Flubendiamide 20% WG</t>
  </si>
  <si>
    <t>Lufenuron 5.4% EC</t>
  </si>
  <si>
    <t>Deltamethrin 25% Tablet</t>
  </si>
  <si>
    <t>Novaluran 5.25% + Emamectin Benzoate 0.9% SC</t>
  </si>
  <si>
    <t>Emamectin Benzoate 5% SG</t>
  </si>
  <si>
    <t>Cypermethrin 10% + Indoxacarb 10% W/W SC</t>
  </si>
  <si>
    <t>Flubendiamide 19.92% + Thiachloprid 19.92%  SC</t>
  </si>
  <si>
    <t>Spinosad 2.5% SC</t>
  </si>
  <si>
    <t>Spinosad 45% SC</t>
  </si>
  <si>
    <t>Novaluron 10% EC</t>
  </si>
  <si>
    <t>Methoxyfenozide 23% SC</t>
  </si>
  <si>
    <t>Dinotefuran 15% + Pymetrozine 45% WG</t>
  </si>
  <si>
    <t>Acephate 50% + Fipronil 5% WDG</t>
  </si>
  <si>
    <t>Thiacloprid 21.7% SC</t>
  </si>
  <si>
    <t>Pymetrozine 50% WG</t>
  </si>
  <si>
    <t>Clothianidin 50% WG</t>
  </si>
  <si>
    <t>Dinotefuran 20% SG</t>
  </si>
  <si>
    <t>Acetamiprid 20% SP</t>
  </si>
  <si>
    <t>Fipronil 40% + Imidacloprid 40% SC</t>
  </si>
  <si>
    <t>Ethiprole 10.7% + Pymetro 40%WG</t>
  </si>
  <si>
    <t>Thiamethoxam 30% FS</t>
  </si>
  <si>
    <t>Betacyfluthrin 8.49% + Imidacloprid 19.81% OD</t>
  </si>
  <si>
    <t>Chlorantraniliprole 5%+ Fipronil 15%  SC</t>
  </si>
  <si>
    <t>Bifenthrin 8% + Clothianidin 10% SC</t>
  </si>
  <si>
    <t>Fipronil 0.3% GR</t>
  </si>
  <si>
    <t>Thiamethoxam 1% + Chlorantraniliprole 0.5% GR</t>
  </si>
  <si>
    <t>Abamectin 1.9% EC</t>
  </si>
  <si>
    <t>Fipronil 10% + Diafenthriuron 30% WG</t>
  </si>
  <si>
    <t>Hexythiazox 3.5% + Diafenthiuron 42% WDG</t>
  </si>
  <si>
    <t>Propargite 57% EC</t>
  </si>
  <si>
    <t>Pyriproxifen 10% EC</t>
  </si>
  <si>
    <t>Azadirachtin 1% Min</t>
  </si>
  <si>
    <t>Hexythiazox 5.45% EC</t>
  </si>
  <si>
    <t>Acephate 50% + Imidacloprid 1.8% SP</t>
  </si>
  <si>
    <t>Bifenthrin 10% EC</t>
  </si>
  <si>
    <t>Acetamiprid 1.1% + Cypermethrin 5.5% EC</t>
  </si>
  <si>
    <t>Profenophos 40% + Cypermethrin 4% EC</t>
  </si>
  <si>
    <t>Monocrotophos 36% SL</t>
  </si>
  <si>
    <t>Lambda Cyhalothrin 4.9% CS</t>
  </si>
  <si>
    <t>Azoxystrobin 11% EW + Tebuconazole 18.3% SC</t>
  </si>
  <si>
    <t>Azoxystrobin 18.2% + Difenconazole 11.4% SC</t>
  </si>
  <si>
    <t>Azoxystrobin 4.8% + Chlorothalonil 40% SC</t>
  </si>
  <si>
    <t>Kresoxim-Methyl 40 %+ Hexaconazole 8% WG</t>
  </si>
  <si>
    <t>Kresoxim-Methyl 44.3% W/W (500 G/L) SC</t>
  </si>
  <si>
    <t>Metiram 55% + Pyraclostrobin 5% WG</t>
  </si>
  <si>
    <t>Picoxystrobin 22.52%</t>
  </si>
  <si>
    <t>Picoxystrobin 7.05% + Propiconazole 11.71% SC</t>
  </si>
  <si>
    <t>Picoxystrobin 6.78% + Tricyclazole 20.33% SC</t>
  </si>
  <si>
    <t>Pyraclostroblin 20% WG</t>
  </si>
  <si>
    <t>Pyroclostrobin 113G/L + Epoxiconazole 50G/L  SE</t>
  </si>
  <si>
    <t>Azoxystrobin 20% + Thifluzamide 15% SC</t>
  </si>
  <si>
    <t>Cyazofamid 34.5% SC</t>
  </si>
  <si>
    <t>Cymoxilin 8% + Mancozeb 64% WP</t>
  </si>
  <si>
    <t>Dimethomorph 50% WP</t>
  </si>
  <si>
    <t>Mendipropamid 23.4%  SC</t>
  </si>
  <si>
    <t>Metalaxyl M 4% + Mancozeb 64% WP</t>
  </si>
  <si>
    <t>Iprovalicarb 5.5% + Propineb 61.25% WP</t>
  </si>
  <si>
    <t>Dodine 65% WP</t>
  </si>
  <si>
    <t>Captan 50% WP</t>
  </si>
  <si>
    <t>Thifluzamide 24% SC</t>
  </si>
  <si>
    <t>Metiram 70% WG</t>
  </si>
  <si>
    <t>Tebuconazole 6.7% + Captan  26.9% SC</t>
  </si>
  <si>
    <t>Carbendazim 12% + Mancozeb 63% WP</t>
  </si>
  <si>
    <t>Mancozeb 75% WP</t>
  </si>
  <si>
    <t>Fluopyram 17.7% + Tebuconazole 17.7% SC</t>
  </si>
  <si>
    <t>Atrazine 50% WP</t>
  </si>
  <si>
    <t>Halosulfuron Methyl 75% WG</t>
  </si>
  <si>
    <t>Tembotrione 34.4% SC</t>
  </si>
  <si>
    <t>Mesotrione 2.27% + Atrazine 22.7% SC</t>
  </si>
  <si>
    <t>Ametryne 80% WDG</t>
  </si>
  <si>
    <t>Metribuzin 70% WP</t>
  </si>
  <si>
    <t>Halosulfuron methyl 12% + Metribuzin 55% WG</t>
  </si>
  <si>
    <t>Diuron 80% WP</t>
  </si>
  <si>
    <t>Glufisonate Ammonium 13.5% SL</t>
  </si>
  <si>
    <t>Glyphosate 41% SL</t>
  </si>
  <si>
    <t>Glyphosate Amonium salt 71% SG</t>
  </si>
  <si>
    <t>Paraquat Dichloride 24% SL</t>
  </si>
  <si>
    <t>Pendimethalin 30% EC</t>
  </si>
  <si>
    <t>Propaquizafop 5% + Oxyfluorfen 12% EC</t>
  </si>
  <si>
    <t>Metalochlor 50% EC</t>
  </si>
  <si>
    <t>Sulfentrazone 39.6% SC</t>
  </si>
  <si>
    <t>Cyhalofop Butyl 10 % EC</t>
  </si>
  <si>
    <t>Penoxulam 2.67% OD</t>
  </si>
  <si>
    <t>Propanil 80% DF</t>
  </si>
  <si>
    <t>Pretilachlor 50% EC</t>
  </si>
  <si>
    <t>Pretilachlor 37% EW</t>
  </si>
  <si>
    <t>Met 10% + Chlori 10%</t>
  </si>
  <si>
    <t>Penoxulam 0.97% + Butachlor 38.8% SE</t>
  </si>
  <si>
    <t>Pyrazosulfuron Ethyl 10% WP</t>
  </si>
  <si>
    <t>Bispyribac Sodium 10% SC</t>
  </si>
  <si>
    <t>Pyrithiobac Sodium 10% SC</t>
  </si>
  <si>
    <t>Pendimethalin 38.7% CS</t>
  </si>
  <si>
    <t>Imazathapyr  70% WG</t>
  </si>
  <si>
    <t>Fenoxaprop-P-Ethyl 9.3% EC</t>
  </si>
  <si>
    <t>Diclosulam 84% WDG</t>
  </si>
  <si>
    <t>Quizalofop Ethyl 10% EC</t>
  </si>
  <si>
    <t>Imazethapyr 10% SL</t>
  </si>
  <si>
    <t>Sodium Acifluorfen 16.5% + Clodina 8% EC</t>
  </si>
  <si>
    <t>Propaquizafop 10% EC</t>
  </si>
  <si>
    <t>Haloxyfop-P-Methyl 10.5% EC</t>
  </si>
  <si>
    <t>Sulfosulfuron 75% WG</t>
  </si>
  <si>
    <t>Sulfosulfuron 75% + Metsulfuron Methyl 5% WG</t>
  </si>
  <si>
    <t>Clodinafop propargyl 15% WP</t>
  </si>
  <si>
    <t>Metsulfuron Methyl 20%</t>
  </si>
  <si>
    <t>Triazophos 40 % EC</t>
  </si>
  <si>
    <t>Clodina Propargyl 9% + Metribuzin 20% WP</t>
  </si>
  <si>
    <t>Alpha Napthyl Acetic Acid 4.5% SL</t>
  </si>
  <si>
    <t>Gibberellic Acid 40% WSG</t>
  </si>
  <si>
    <t>Gibberellic Acid 0.001% L</t>
  </si>
  <si>
    <t>Chlorpyrifos 20% EC</t>
  </si>
  <si>
    <t>Chlorpyrifos 50% EC</t>
  </si>
  <si>
    <t>Chlorpyrifos 10% GR</t>
  </si>
  <si>
    <t>Chlorpyrifos 50% + Cypermethrin 5% EC</t>
  </si>
  <si>
    <t>Profenophos 50% EC</t>
  </si>
  <si>
    <t>Thiamethoxam 25% WG</t>
  </si>
  <si>
    <t xml:space="preserve">Quinalphos 25% EC </t>
  </si>
  <si>
    <t>Fipronil 40% + Imidacloprid 40% WG</t>
  </si>
  <si>
    <t>Cartap Hydrochloride 50% SP</t>
  </si>
  <si>
    <t>Cartap Hydrochloride 4% GR</t>
  </si>
  <si>
    <t>Imidacloprid 17.8% SL</t>
  </si>
  <si>
    <t xml:space="preserve">Imidacloprid 30.5% SC </t>
  </si>
  <si>
    <t>Thiamethoxam 12.6% + Lambda Cyhalothrin 9.5% ZC</t>
  </si>
  <si>
    <t>Lambda Cyhalothrin 5% EC</t>
  </si>
  <si>
    <t>Lambda Cyhalothrin 2.5% EC</t>
  </si>
  <si>
    <t>Permethrin 25% EC</t>
  </si>
  <si>
    <t>Dimethoate 30% EC</t>
  </si>
  <si>
    <t>Cypermethrin 10% EC</t>
  </si>
  <si>
    <t xml:space="preserve">Cypermethrin 25% EC </t>
  </si>
  <si>
    <t>Fipronil 80% WG</t>
  </si>
  <si>
    <t>Alpha Cypermethrin 10% EC</t>
  </si>
  <si>
    <t>Malathion 50% EC</t>
  </si>
  <si>
    <t xml:space="preserve">Indoxacarb 14.5% SC </t>
  </si>
  <si>
    <t>Carbendazim 50% WP</t>
  </si>
  <si>
    <t>Sulpher 65% + Tebuconazole 10% WG</t>
  </si>
  <si>
    <t xml:space="preserve">Mancozeb 64% + Metlaxyl 8%WP </t>
  </si>
  <si>
    <t>Hexaconazole 5% SC</t>
  </si>
  <si>
    <t>Propiconazole 25% EC</t>
  </si>
  <si>
    <t xml:space="preserve">Tebuconazole 25.9% EC </t>
  </si>
  <si>
    <t xml:space="preserve">Thiophenate Methyl 70% WP </t>
  </si>
  <si>
    <t>Tricyclozole 75% WP</t>
  </si>
  <si>
    <t xml:space="preserve">Metalaxyl 35% WS </t>
  </si>
  <si>
    <t>2,4 D Amine Salt 58% SL</t>
  </si>
  <si>
    <t>Butachlor 50% EW</t>
  </si>
  <si>
    <t>Metsulfuron Methyl 10% + Chlorimuron Ethyl 10% WP</t>
  </si>
  <si>
    <t>Quizalofop Ethyl 5% EC</t>
  </si>
  <si>
    <t>Gibberellic Acid 0.186% SP</t>
  </si>
  <si>
    <t>Tricontanol 0.05% EC</t>
  </si>
  <si>
    <t>Tricontanol 0.05% GR</t>
  </si>
  <si>
    <t>Silicon Spreader</t>
  </si>
  <si>
    <t>Micorrizal</t>
  </si>
  <si>
    <t>Ethephon 39% SL</t>
  </si>
  <si>
    <t>Sea Weed Extract</t>
  </si>
  <si>
    <t>Fenpyroximate 5% EC</t>
  </si>
  <si>
    <t>Imidacloprid 70% WG</t>
  </si>
  <si>
    <t>Thifluzamide 24% SL</t>
  </si>
  <si>
    <t>Myclobutanil 10% WP</t>
  </si>
  <si>
    <t>Pyriproxifen 10% + Bifenthrin 10% EC</t>
  </si>
  <si>
    <t>Novaluron 5.25% + Indoxacarb 4.5% SC</t>
  </si>
  <si>
    <t>Diafenthiuron 50% WP</t>
  </si>
  <si>
    <t>Thiamethoxam 4% + Fipronil 4% SC</t>
  </si>
  <si>
    <t>Fipronil 40% + Imidacloprid 40% WP</t>
  </si>
  <si>
    <t>Deltamethrin 11% EC</t>
  </si>
  <si>
    <t>Thiamethoxam 75% SG</t>
  </si>
  <si>
    <t>Natural Product</t>
  </si>
  <si>
    <t>Soil Supplement</t>
  </si>
  <si>
    <t>Company</t>
  </si>
  <si>
    <t>Ichiban</t>
  </si>
  <si>
    <t>Sandhya</t>
  </si>
  <si>
    <t>Axis</t>
  </si>
  <si>
    <t>Technicals</t>
  </si>
  <si>
    <t>Propineb 70% WP</t>
  </si>
  <si>
    <t>S.No</t>
  </si>
  <si>
    <t>Agastya</t>
  </si>
  <si>
    <t>Tropical</t>
  </si>
  <si>
    <t>Map</t>
  </si>
  <si>
    <t>solar</t>
  </si>
  <si>
    <t>chloro20</t>
  </si>
  <si>
    <t>chloro50</t>
  </si>
  <si>
    <t>WEEDICIDES</t>
  </si>
  <si>
    <t>Solar</t>
  </si>
  <si>
    <t>Paraquat</t>
  </si>
  <si>
    <t>Weedmar</t>
  </si>
  <si>
    <t>Glycel</t>
  </si>
  <si>
    <t>INSECTICIDES</t>
  </si>
  <si>
    <t>Nominee</t>
  </si>
  <si>
    <t>(All)</t>
  </si>
  <si>
    <t>24D-L</t>
  </si>
  <si>
    <t>24D-P</t>
  </si>
  <si>
    <t>Pride</t>
  </si>
  <si>
    <t>Actara-G</t>
  </si>
  <si>
    <t>Actara-L</t>
  </si>
  <si>
    <t>Corazen-L</t>
  </si>
  <si>
    <t>Corazen-G</t>
  </si>
  <si>
    <t>Saaf</t>
  </si>
  <si>
    <t>Spirotetramat 11.01% + Imidacloprid 11.01% SC</t>
  </si>
  <si>
    <t>Spiromesifen 22.9% SC</t>
  </si>
  <si>
    <t>Acetamiprid 0.4% + Chlorpyrifos 20% EC</t>
  </si>
  <si>
    <t>Cyhalofop Butyl 5.1% + Penoxsulam 1.02% OD</t>
  </si>
  <si>
    <t>Fomesafen 11.1%+ Fluazifop P Buty 11.1% SL</t>
  </si>
  <si>
    <t>Sulfentrazone 28% + Clomazone 30% WP</t>
  </si>
  <si>
    <t>Cypermethrin 10% + Indoxacarb 10% SC</t>
  </si>
  <si>
    <t>Tolfenpyrad 15% EC</t>
  </si>
  <si>
    <t>Chlorfenapyr 10% SC</t>
  </si>
  <si>
    <t>Boscalid 25.2% + Pyraclostrobin 12.8% WG</t>
  </si>
  <si>
    <t>Fosetyl Al 80% WP</t>
  </si>
  <si>
    <t>Flusilazole 40% EC</t>
  </si>
  <si>
    <t>Penconazole 10% EC</t>
  </si>
  <si>
    <t>Penflufen 13.28% + Trifloxy 13.28% FS</t>
  </si>
  <si>
    <t>Chlorantraniliprole 50 % FS</t>
  </si>
  <si>
    <t>Topramezone + Atrazine 300g/l SC</t>
  </si>
  <si>
    <t>Carfentrazone Ethryl 0.43% + Glyphosate 30.82% EW</t>
  </si>
  <si>
    <t>Carfentrazone Ethyl 40% DF</t>
  </si>
  <si>
    <t>Pinoxaden 5.1% EC</t>
  </si>
  <si>
    <t>Metsulfuron Methyl 20% WG</t>
  </si>
  <si>
    <t>Pyroxasulfone 85% WG</t>
  </si>
  <si>
    <t>Copper Oxychloride 50% WP</t>
  </si>
  <si>
    <t>Emamectin Benzoate 1.9% EC</t>
  </si>
  <si>
    <t>Pretilachlor 6%+Bensulfuron 0.6% GR</t>
  </si>
  <si>
    <t xml:space="preserve">Validamycin 3% SL </t>
  </si>
  <si>
    <t>Isoprothiolane 40% EC</t>
  </si>
  <si>
    <t>Ethion 40% + Cypermethrin 5% EC</t>
  </si>
  <si>
    <t>M45</t>
  </si>
  <si>
    <t>FUNGICIDES</t>
  </si>
  <si>
    <t>SAAF</t>
  </si>
  <si>
    <t>Proclaim</t>
  </si>
  <si>
    <t>Cyper10</t>
  </si>
  <si>
    <t>Cyper25</t>
  </si>
  <si>
    <t>Imida17.8</t>
  </si>
  <si>
    <t>Imida30.5</t>
  </si>
  <si>
    <t>Carbendazim 25% + Flusilazole 12.5% SE</t>
  </si>
  <si>
    <t>Fipronil 4% + Acetamiprid 4% SC</t>
  </si>
  <si>
    <t>Chlorantraniliprole 4.3% + Abamectin 1.7% SC</t>
  </si>
  <si>
    <t>Captan 70% + Hexaconazole 5% WP</t>
  </si>
  <si>
    <t>Pendimethalin 30% + Imazethapyr 2% EC</t>
  </si>
  <si>
    <t>Tricontanol 0.1% EW</t>
  </si>
  <si>
    <t>Pyriproxifen 5% + Diafenthiuron 10% EC</t>
  </si>
  <si>
    <t>Nakasa</t>
  </si>
  <si>
    <t>Pymetrozine 25% + Thiamethoxam 17.5% + Hexaconazole 12.5% WG</t>
  </si>
  <si>
    <t>Plant Protein</t>
  </si>
  <si>
    <t>Pendimethalin 15% + Pyrazosufuron Ethyl 0.15% GR</t>
  </si>
  <si>
    <t>Methoxyfenozide 20% + Chlorantraniliprole 5% SC</t>
  </si>
  <si>
    <t>Thiocyclam Hydrogen Oxalate 3% + Clothianidin 1.2% GR</t>
  </si>
  <si>
    <t>Chlorantraniliprole 0.4% GR</t>
  </si>
  <si>
    <t>Thifluzamide 15% + Difenconazole 11.4% SC</t>
  </si>
  <si>
    <t>Emamectin Benzoate 1.8% + Methoxyfenozide 18% SC</t>
  </si>
  <si>
    <t>Paclobutrazol 23% SC</t>
  </si>
  <si>
    <t>Bio Stimulent</t>
  </si>
  <si>
    <t>Chlorantraniliprole 18.5% SC</t>
  </si>
  <si>
    <t>Pendimethalin 35% + Metribuzin 3.5% SE</t>
  </si>
  <si>
    <t>Pyraclostroblin 3.5% + Metribuzin 3.5% SP</t>
  </si>
  <si>
    <t>Pyraclostrobin 3.5% + Thiram 15% + Clothianidin 22.5% FS</t>
  </si>
  <si>
    <t>Tolfenpyrad 15% EC + Bifenthrin 7.5% SE</t>
  </si>
  <si>
    <t>Pyriproxifen 5% + Diafenthiuron 25% SE</t>
  </si>
  <si>
    <t>Tricyclazole 18% + Tebuconazole 14.4% SC</t>
  </si>
  <si>
    <t>Propiconazole 13.9% + Difenconazole 13.9% EC</t>
  </si>
  <si>
    <t>Propaquizafop 2.5% + Imazethapyr 3.75% ME</t>
  </si>
  <si>
    <t>Acephate 75% SP</t>
  </si>
  <si>
    <t>Fipronil 5% SC</t>
  </si>
  <si>
    <t>Sulpher 80% WG</t>
  </si>
  <si>
    <t>Azoxystrobin 5.1% + Tebuconazole 9.1% + 
Prochloraz 18.2% EC</t>
  </si>
  <si>
    <t>Ethion 50% EC</t>
  </si>
  <si>
    <t>GSP</t>
  </si>
  <si>
    <t>Paclobutrazol 40% SC</t>
  </si>
  <si>
    <t>Tebuconazole 50% + Trifloxystrobin 25% WG</t>
  </si>
  <si>
    <t>Chlorpyrifos 16% + Alpha Cypermethrin 10% EC</t>
  </si>
  <si>
    <t>Imidacloprid 0.3% GR</t>
  </si>
  <si>
    <t>Humacid</t>
  </si>
  <si>
    <t>Wetting Agent</t>
  </si>
  <si>
    <t>Sulpher 40% SC</t>
  </si>
  <si>
    <t>Fipronil 0.6% GR</t>
  </si>
  <si>
    <t>Organic Manure GR</t>
  </si>
  <si>
    <t>Organic Farm Waste</t>
  </si>
  <si>
    <t>Fipronil 2.5% + Propargite 35% SE</t>
  </si>
  <si>
    <t>Magnesium + Zinc</t>
  </si>
  <si>
    <t xml:space="preserve">Tebuconazole 38.39% EC </t>
  </si>
  <si>
    <t>2,4 D Sodium Salt 80% WP</t>
  </si>
  <si>
    <t>100% Polyether Modified Trisiloxane</t>
  </si>
  <si>
    <t>Hexaconazole 4% + Zineb 68% WP</t>
  </si>
  <si>
    <t>Acephate 35% + Buprofezin 15% WP</t>
  </si>
  <si>
    <t>Fenoxaprop-P-Ethyl 6-7% EC</t>
  </si>
  <si>
    <t>Azoxystrobin 16.7% + Tricyclazole 33.33% SC</t>
  </si>
  <si>
    <t>Hexaconazole 5% + Validamycin 2.5% SC</t>
  </si>
  <si>
    <t>Fipronil 7% + Hexythiazox 2% SC</t>
  </si>
  <si>
    <t>Chlorothalonil 75% WP</t>
  </si>
  <si>
    <t>Ziram 80% WP</t>
  </si>
  <si>
    <t>Phenthoate 50% EC</t>
  </si>
  <si>
    <t>Protein Hydrolysate GR</t>
  </si>
  <si>
    <t>Pyriproxifen 8% + Dinotefuran 5% + Diafenthiuron 18% SC</t>
  </si>
  <si>
    <t>Organic Manure</t>
  </si>
  <si>
    <t>Zink</t>
  </si>
  <si>
    <t>Paraquat Dichloride 22.4% + Oxyflourfen 1.99% EW</t>
  </si>
  <si>
    <t>Thiamethoxam 1.25% + Fipronil 1.25% + Chlorantraniliprole 0.6% GR</t>
  </si>
  <si>
    <t>Hexaconazole 75% WG</t>
  </si>
  <si>
    <t>Streptomycin Sulphate + Tetracycline Hydrochloride (90:10) SP</t>
  </si>
  <si>
    <t>Acetobacter</t>
  </si>
  <si>
    <t>Folic Acid</t>
  </si>
  <si>
    <t>NPK 25:16:12</t>
  </si>
  <si>
    <t>NPK 0:40:40</t>
  </si>
  <si>
    <t>Spinetoram 11.7% SC</t>
  </si>
  <si>
    <t>Protein Hydrolysate</t>
  </si>
  <si>
    <t>Potash Derived from Rhodophytes (Organic Potash)</t>
  </si>
  <si>
    <t>Cymoxilin 50% WP</t>
  </si>
  <si>
    <t>Potash Derived from Rhodophytes</t>
  </si>
  <si>
    <t>Potash Mobilizing Biofetilizer</t>
  </si>
  <si>
    <t>NPK 19:19:19</t>
  </si>
  <si>
    <t>NPK 13.40.13</t>
  </si>
  <si>
    <t>Check</t>
  </si>
  <si>
    <t>Pseudomonas fluorescens 1% WP</t>
  </si>
  <si>
    <t>Trichoderma Viride 1.5% WP</t>
  </si>
  <si>
    <t>Oxyfluorfen 23.5% EC</t>
  </si>
  <si>
    <t>Hexaconazole 5% EC</t>
  </si>
  <si>
    <t>List</t>
  </si>
  <si>
    <t>250 ML</t>
  </si>
  <si>
    <t>500 ML</t>
  </si>
  <si>
    <t>1000 ML</t>
  </si>
  <si>
    <t>5000 ML</t>
  </si>
  <si>
    <t>Caldan</t>
  </si>
  <si>
    <t>Glycel 13.5</t>
  </si>
  <si>
    <t>Kingdoxa</t>
  </si>
  <si>
    <t>100 ML</t>
  </si>
  <si>
    <t>Tebuconazole 25% WG</t>
  </si>
  <si>
    <t>Bharat</t>
  </si>
  <si>
    <t>Topramezone 33.6 SC</t>
  </si>
  <si>
    <t>Pyrithiobac Sodium 6% + Quizalofop Ethyl 4% 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</si>
</sst>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9"/>
      <color rgb="FF000000"/>
      <name val="Calibri"/>
      <family val="2"/>
    </font>
    <font>
      <sz val="10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pivotButton="1"/>
    <xf numFmtId="0" fontId="3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" fontId="3" fillId="6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0" fillId="0" borderId="0" xfId="0" quotePrefix="1" applyNumberFormat="1"/>
    <xf numFmtId="0" fontId="0" fillId="0" borderId="0" xfId="0" pivotButton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1" xfId="0" applyFont="1" applyBorder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1" xfId="0" applyFont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1" xfId="0" applyBorder="1"/>
    <xf numFmtId="0" fontId="4" fillId="7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4.xml"/><Relationship Id="rId12" Type="http://schemas.openxmlformats.org/officeDocument/2006/relationships/pivotCacheDefinition" Target="pivotCache/pivotCacheDefinition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externalLink" Target="externalLinks/externalLink7.xml"/><Relationship Id="rId19" Type="http://schemas.microsoft.com/office/2017/06/relationships/rdRichValueStructure" Target="richData/rdrichvaluestructure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0</xdr:row>
          <xdr:rowOff>68580</xdr:rowOff>
        </xdr:from>
        <xdr:to>
          <xdr:col>7</xdr:col>
          <xdr:colOff>381000</xdr:colOff>
          <xdr:row>2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IN" sz="1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BACK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laj\OneDrive\Documents\Price%20List%20Auto\Ichiban\Ichiban%20PriceList.xlsx" TargetMode="External"/><Relationship Id="rId1" Type="http://schemas.openxmlformats.org/officeDocument/2006/relationships/externalLinkPath" Target="Ichiban/Ichiban%20PriceLis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laj\OneDrive\Documents\Price%20List%20Auto\Sandhya\Sandhya%20PriceList.xlsx" TargetMode="External"/><Relationship Id="rId1" Type="http://schemas.openxmlformats.org/officeDocument/2006/relationships/externalLinkPath" Target="Sandhya/Sandhya%20PriceLi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laj\OneDrive\Documents\Price%20List%20Auto\Axis%20Crop\Axis%20PriceList.xlsx" TargetMode="External"/><Relationship Id="rId1" Type="http://schemas.openxmlformats.org/officeDocument/2006/relationships/externalLinkPath" Target="Axis%20Crop/Axis%20PriceList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laj\OneDrive\Documents\Price%20List%20Auto\Agastya\Agastya%20PriceList.xlsx" TargetMode="External"/><Relationship Id="rId1" Type="http://schemas.openxmlformats.org/officeDocument/2006/relationships/externalLinkPath" Target="Agastya/Agastya%20PriceList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laj\OneDrive\Documents\Price%20List%20Auto\Nakasa\Nakasa%20PriceList.xlsx" TargetMode="External"/><Relationship Id="rId1" Type="http://schemas.openxmlformats.org/officeDocument/2006/relationships/externalLinkPath" Target="Nakasa/Nakasa%20PriceList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laj\OneDrive\Documents\Price%20List%20Auto\Bharat\Bharat%20PriceList.xlsx" TargetMode="External"/><Relationship Id="rId1" Type="http://schemas.openxmlformats.org/officeDocument/2006/relationships/externalLinkPath" Target="Bharat/Bharat%20PriceList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laj\OneDrive\Documents\Price%20List%20Auto\Tropical\Tropical%20PriceList.xlsx" TargetMode="External"/><Relationship Id="rId1" Type="http://schemas.openxmlformats.org/officeDocument/2006/relationships/externalLinkPath" Target="Tropical/Tropical%20PriceList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laj\OneDrive\Documents\Price%20List%20Auto\GSP\GSP%20PriceList.xlsx" TargetMode="External"/><Relationship Id="rId1" Type="http://schemas.openxmlformats.org/officeDocument/2006/relationships/externalLinkPath" Target="GSP/GSP%20Price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ump"/>
      <sheetName val="Work"/>
      <sheetName val="PriceList"/>
      <sheetName val="Trends"/>
    </sheetNames>
    <sheetDataSet>
      <sheetData sheetId="0"/>
      <sheetData sheetId="1"/>
      <sheetData sheetId="2">
        <row r="1">
          <cell r="B1" t="str">
            <v>Company</v>
          </cell>
          <cell r="C1" t="str">
            <v>Technical</v>
          </cell>
          <cell r="D1" t="str">
            <v>Product Name</v>
          </cell>
          <cell r="E1" t="str">
            <v>Packing</v>
          </cell>
          <cell r="F1" t="str">
            <v>Unit Price</v>
          </cell>
          <cell r="G1" t="str">
            <v>GST %</v>
          </cell>
          <cell r="H1" t="str">
            <v>GST</v>
          </cell>
          <cell r="I1" t="str">
            <v>Price wt GST</v>
          </cell>
        </row>
        <row r="2">
          <cell r="B2" t="str">
            <v>Ichiban</v>
          </cell>
          <cell r="C2" t="str">
            <v>Emamectin 5% + Lufenuron 40% WG</v>
          </cell>
          <cell r="D2" t="str">
            <v>Agniveer</v>
          </cell>
          <cell r="E2" t="str">
            <v>60 GMS</v>
          </cell>
          <cell r="F2">
            <v>1020</v>
          </cell>
          <cell r="G2">
            <v>18</v>
          </cell>
          <cell r="H2">
            <v>183.6</v>
          </cell>
          <cell r="I2">
            <v>1203.5999999999999</v>
          </cell>
        </row>
        <row r="3">
          <cell r="B3" t="str">
            <v>Ichiban</v>
          </cell>
          <cell r="C3" t="str">
            <v>Emamectin 5% + Lufenuron 40% WG</v>
          </cell>
          <cell r="D3" t="str">
            <v>Agniveer</v>
          </cell>
          <cell r="E3" t="str">
            <v>24 GMS</v>
          </cell>
          <cell r="F3">
            <v>432</v>
          </cell>
          <cell r="G3">
            <v>18</v>
          </cell>
          <cell r="H3">
            <v>77.759999999999991</v>
          </cell>
          <cell r="I3">
            <v>509.76</v>
          </cell>
        </row>
        <row r="4">
          <cell r="B4" t="str">
            <v>Ichiban</v>
          </cell>
          <cell r="C4" t="str">
            <v>Chlorantraniliprole 9.3% + Lambdacyhalothrin 4.6% ZC</v>
          </cell>
          <cell r="D4" t="str">
            <v>Alishan gold</v>
          </cell>
          <cell r="E4" t="str">
            <v>1000 ML</v>
          </cell>
          <cell r="F4">
            <v>2200</v>
          </cell>
          <cell r="G4">
            <v>18</v>
          </cell>
          <cell r="H4">
            <v>396</v>
          </cell>
          <cell r="I4">
            <v>2596</v>
          </cell>
        </row>
        <row r="5">
          <cell r="B5" t="str">
            <v>Ichiban</v>
          </cell>
          <cell r="C5" t="str">
            <v>Chlorantraniliprole 9.3% + Lambdacyhalothrin 4.6% ZC</v>
          </cell>
          <cell r="D5" t="str">
            <v>Alishan gold</v>
          </cell>
          <cell r="E5" t="str">
            <v>500 ML</v>
          </cell>
          <cell r="F5">
            <v>1125</v>
          </cell>
          <cell r="G5">
            <v>18</v>
          </cell>
          <cell r="H5">
            <v>202.5</v>
          </cell>
          <cell r="I5">
            <v>1327.5</v>
          </cell>
        </row>
        <row r="6">
          <cell r="B6" t="str">
            <v>Ichiban</v>
          </cell>
          <cell r="C6" t="str">
            <v>Chlorantraniliprole 9.3% + Lambdacyhalothrin 4.6% ZC</v>
          </cell>
          <cell r="D6" t="str">
            <v>Alishan gold</v>
          </cell>
          <cell r="E6" t="str">
            <v>250 ML</v>
          </cell>
          <cell r="F6">
            <v>575</v>
          </cell>
          <cell r="G6">
            <v>18</v>
          </cell>
          <cell r="H6">
            <v>103.5</v>
          </cell>
          <cell r="I6">
            <v>678.5</v>
          </cell>
        </row>
        <row r="7">
          <cell r="B7" t="str">
            <v>Ichiban</v>
          </cell>
          <cell r="C7" t="str">
            <v>Chlorantraniliprole 9.3% + Lambdacyhalothrin 4.6% ZC</v>
          </cell>
          <cell r="D7" t="str">
            <v>Alishan gold</v>
          </cell>
          <cell r="E7" t="str">
            <v>100 ML</v>
          </cell>
          <cell r="F7">
            <v>240</v>
          </cell>
          <cell r="G7">
            <v>18</v>
          </cell>
          <cell r="H7">
            <v>43.199999999999996</v>
          </cell>
          <cell r="I7">
            <v>283.2</v>
          </cell>
        </row>
        <row r="8">
          <cell r="B8" t="str">
            <v>Ichiban</v>
          </cell>
          <cell r="C8" t="str">
            <v>Flubendiamide 39.35% SC</v>
          </cell>
          <cell r="D8" t="str">
            <v>Gazillion</v>
          </cell>
          <cell r="E8" t="str">
            <v>500 ML</v>
          </cell>
          <cell r="F8">
            <v>5150</v>
          </cell>
          <cell r="G8">
            <v>18</v>
          </cell>
          <cell r="H8">
            <v>927</v>
          </cell>
          <cell r="I8">
            <v>6077</v>
          </cell>
        </row>
        <row r="9">
          <cell r="B9" t="str">
            <v>Ichiban</v>
          </cell>
          <cell r="C9" t="str">
            <v>Flubendiamide 39.35% SC</v>
          </cell>
          <cell r="D9" t="str">
            <v>Gazillion</v>
          </cell>
          <cell r="E9" t="str">
            <v>250 ML</v>
          </cell>
          <cell r="F9">
            <v>2600</v>
          </cell>
          <cell r="G9">
            <v>18</v>
          </cell>
          <cell r="H9">
            <v>468</v>
          </cell>
          <cell r="I9">
            <v>3068</v>
          </cell>
        </row>
        <row r="10">
          <cell r="B10" t="str">
            <v>Ichiban</v>
          </cell>
          <cell r="C10" t="str">
            <v>Flubendiamide 39.35% SC</v>
          </cell>
          <cell r="D10" t="str">
            <v>Gazillion</v>
          </cell>
          <cell r="E10" t="str">
            <v>100 ML</v>
          </cell>
          <cell r="F10">
            <v>1050</v>
          </cell>
          <cell r="G10">
            <v>18</v>
          </cell>
          <cell r="H10">
            <v>189</v>
          </cell>
          <cell r="I10">
            <v>1239</v>
          </cell>
        </row>
        <row r="11">
          <cell r="B11" t="str">
            <v>Ichiban</v>
          </cell>
          <cell r="C11" t="str">
            <v>Flubendiamide 39.35% SC</v>
          </cell>
          <cell r="D11" t="str">
            <v>Gazillion</v>
          </cell>
          <cell r="E11" t="str">
            <v>50 ML</v>
          </cell>
          <cell r="F11">
            <v>535</v>
          </cell>
          <cell r="G11">
            <v>18</v>
          </cell>
          <cell r="H11">
            <v>96.3</v>
          </cell>
          <cell r="I11">
            <v>631.29999999999995</v>
          </cell>
        </row>
        <row r="12">
          <cell r="B12" t="str">
            <v>Ichiban</v>
          </cell>
          <cell r="C12" t="str">
            <v>Flubendiamide 39.35% SC</v>
          </cell>
          <cell r="D12" t="str">
            <v>Gazillion</v>
          </cell>
          <cell r="E12" t="str">
            <v>10 ML</v>
          </cell>
          <cell r="F12">
            <v>113</v>
          </cell>
          <cell r="G12">
            <v>18</v>
          </cell>
          <cell r="H12">
            <v>20.34</v>
          </cell>
          <cell r="I12">
            <v>133.34</v>
          </cell>
        </row>
        <row r="13">
          <cell r="B13" t="str">
            <v>Ichiban</v>
          </cell>
          <cell r="C13" t="str">
            <v>Flubendiamide 20% WG</v>
          </cell>
          <cell r="D13" t="str">
            <v>Gazillion wg</v>
          </cell>
          <cell r="E13" t="str">
            <v>250 GMS</v>
          </cell>
          <cell r="F13">
            <v>1175</v>
          </cell>
          <cell r="G13">
            <v>18</v>
          </cell>
          <cell r="H13">
            <v>211.5</v>
          </cell>
          <cell r="I13">
            <v>1386.5</v>
          </cell>
        </row>
        <row r="14">
          <cell r="B14" t="str">
            <v>Ichiban</v>
          </cell>
          <cell r="C14" t="str">
            <v>Flubendiamide 20% WG</v>
          </cell>
          <cell r="D14" t="str">
            <v>Gazillion wg</v>
          </cell>
          <cell r="E14" t="str">
            <v>100 GMS</v>
          </cell>
          <cell r="F14">
            <v>480</v>
          </cell>
          <cell r="G14">
            <v>18</v>
          </cell>
          <cell r="H14">
            <v>86.399999999999991</v>
          </cell>
          <cell r="I14">
            <v>566.4</v>
          </cell>
        </row>
        <row r="15">
          <cell r="B15" t="str">
            <v>Ichiban</v>
          </cell>
          <cell r="C15" t="str">
            <v>Lufenuron 5.4% EC</v>
          </cell>
          <cell r="D15" t="str">
            <v>Gentleman</v>
          </cell>
          <cell r="E15" t="str">
            <v>1000 ML</v>
          </cell>
          <cell r="F15">
            <v>2000</v>
          </cell>
          <cell r="G15">
            <v>18</v>
          </cell>
          <cell r="H15">
            <v>360</v>
          </cell>
          <cell r="I15">
            <v>2360</v>
          </cell>
        </row>
        <row r="16">
          <cell r="B16" t="str">
            <v>Ichiban</v>
          </cell>
          <cell r="C16" t="str">
            <v>Lufenuron 5.4% EC</v>
          </cell>
          <cell r="D16" t="str">
            <v>Gentleman</v>
          </cell>
          <cell r="E16" t="str">
            <v>500 ML</v>
          </cell>
          <cell r="F16">
            <v>1025</v>
          </cell>
          <cell r="G16">
            <v>18</v>
          </cell>
          <cell r="H16">
            <v>184.5</v>
          </cell>
          <cell r="I16">
            <v>1209.5</v>
          </cell>
        </row>
        <row r="17">
          <cell r="B17" t="str">
            <v>Ichiban</v>
          </cell>
          <cell r="C17" t="str">
            <v>Lufenuron 5.4% EC</v>
          </cell>
          <cell r="D17" t="str">
            <v>Gentleman</v>
          </cell>
          <cell r="E17" t="str">
            <v>250 ML</v>
          </cell>
          <cell r="F17">
            <v>525</v>
          </cell>
          <cell r="G17">
            <v>18</v>
          </cell>
          <cell r="H17">
            <v>94.5</v>
          </cell>
          <cell r="I17">
            <v>619.5</v>
          </cell>
        </row>
        <row r="18">
          <cell r="B18" t="str">
            <v>Ichiban</v>
          </cell>
          <cell r="C18" t="str">
            <v>Lufenuron 5.4% EC</v>
          </cell>
          <cell r="D18" t="str">
            <v>Gentleman</v>
          </cell>
          <cell r="E18" t="str">
            <v>100 ML</v>
          </cell>
          <cell r="F18">
            <v>220</v>
          </cell>
          <cell r="G18">
            <v>18</v>
          </cell>
          <cell r="H18">
            <v>39.6</v>
          </cell>
          <cell r="I18">
            <v>259.60000000000002</v>
          </cell>
        </row>
        <row r="19">
          <cell r="B19" t="str">
            <v>Ichiban</v>
          </cell>
          <cell r="C19" t="str">
            <v>Lufenuron 5.4% EC</v>
          </cell>
          <cell r="D19" t="str">
            <v>Gentleman</v>
          </cell>
          <cell r="E19" t="str">
            <v>50 ML</v>
          </cell>
          <cell r="F19">
            <v>115</v>
          </cell>
          <cell r="G19">
            <v>18</v>
          </cell>
          <cell r="H19">
            <v>20.7</v>
          </cell>
          <cell r="I19">
            <v>135.69999999999999</v>
          </cell>
        </row>
        <row r="20">
          <cell r="B20" t="str">
            <v>Ichiban</v>
          </cell>
          <cell r="C20" t="str">
            <v>Deltamethrin 25% Tablet</v>
          </cell>
          <cell r="D20" t="str">
            <v>High josh</v>
          </cell>
          <cell r="E20" t="str">
            <v>2 GMS</v>
          </cell>
          <cell r="F20">
            <v>12</v>
          </cell>
          <cell r="G20">
            <v>18</v>
          </cell>
          <cell r="H20">
            <v>2.16</v>
          </cell>
          <cell r="I20">
            <v>14.16</v>
          </cell>
        </row>
        <row r="21">
          <cell r="B21" t="str">
            <v>Ichiban</v>
          </cell>
          <cell r="C21" t="str">
            <v>Novaluran 5.25% + Emamectin Benzoate 0.9% SC</v>
          </cell>
          <cell r="D21" t="str">
            <v>Hovercraft</v>
          </cell>
          <cell r="E21" t="str">
            <v>1000 ML</v>
          </cell>
          <cell r="F21">
            <v>1375</v>
          </cell>
          <cell r="G21">
            <v>18</v>
          </cell>
          <cell r="H21">
            <v>247.5</v>
          </cell>
          <cell r="I21">
            <v>1622.5</v>
          </cell>
        </row>
        <row r="22">
          <cell r="B22" t="str">
            <v>Ichiban</v>
          </cell>
          <cell r="C22" t="str">
            <v>Novaluran 5.25% + Emamectin Benzoate 0.9% SC</v>
          </cell>
          <cell r="D22" t="str">
            <v>Hovercraft</v>
          </cell>
          <cell r="E22" t="str">
            <v>500 ML</v>
          </cell>
          <cell r="F22">
            <v>700</v>
          </cell>
          <cell r="G22">
            <v>18</v>
          </cell>
          <cell r="H22">
            <v>126</v>
          </cell>
          <cell r="I22">
            <v>826</v>
          </cell>
        </row>
        <row r="23">
          <cell r="B23" t="str">
            <v>Ichiban</v>
          </cell>
          <cell r="C23" t="str">
            <v>Novaluran 5.25% + Emamectin Benzoate 0.9% SC</v>
          </cell>
          <cell r="D23" t="str">
            <v>Hovercraft</v>
          </cell>
          <cell r="E23" t="str">
            <v>250 ML</v>
          </cell>
          <cell r="F23">
            <v>362.5</v>
          </cell>
          <cell r="G23">
            <v>18</v>
          </cell>
          <cell r="H23">
            <v>65.25</v>
          </cell>
          <cell r="I23">
            <v>427.75</v>
          </cell>
        </row>
        <row r="24">
          <cell r="B24" t="str">
            <v>Ichiban</v>
          </cell>
          <cell r="C24" t="str">
            <v>Novaluran 5.25% + Emamectin Benzoate 0.9% SC</v>
          </cell>
          <cell r="D24" t="str">
            <v>Hovercraft</v>
          </cell>
          <cell r="E24" t="str">
            <v>100 ML</v>
          </cell>
          <cell r="F24">
            <v>152.5</v>
          </cell>
          <cell r="G24">
            <v>18</v>
          </cell>
          <cell r="H24">
            <v>27.45</v>
          </cell>
          <cell r="I24">
            <v>179.95</v>
          </cell>
        </row>
        <row r="25">
          <cell r="B25" t="str">
            <v>Ichiban</v>
          </cell>
          <cell r="C25" t="str">
            <v>Novaluran 5.25% + Emamectin Benzoate 0.9% SC</v>
          </cell>
          <cell r="D25" t="str">
            <v>Hovercraft</v>
          </cell>
          <cell r="E25" t="str">
            <v>50 ML</v>
          </cell>
          <cell r="F25">
            <v>77.5</v>
          </cell>
          <cell r="G25">
            <v>18</v>
          </cell>
          <cell r="H25">
            <v>13.95</v>
          </cell>
          <cell r="I25">
            <v>91.45</v>
          </cell>
        </row>
        <row r="26">
          <cell r="B26" t="str">
            <v>Ichiban</v>
          </cell>
          <cell r="C26" t="str">
            <v>Chlorantraniliprole 18.5% SC</v>
          </cell>
          <cell r="D26" t="str">
            <v>Jaandar</v>
          </cell>
          <cell r="E26" t="str">
            <v>600 ML</v>
          </cell>
          <cell r="F26">
            <v>1320</v>
          </cell>
          <cell r="G26">
            <v>18</v>
          </cell>
          <cell r="H26">
            <v>237.6</v>
          </cell>
          <cell r="I26">
            <v>1557.6</v>
          </cell>
        </row>
        <row r="27">
          <cell r="B27" t="str">
            <v>Ichiban</v>
          </cell>
          <cell r="C27" t="str">
            <v>Chlorantraniliprole 18.5% SC</v>
          </cell>
          <cell r="D27" t="str">
            <v>Jaandar</v>
          </cell>
          <cell r="E27" t="str">
            <v>300 ML</v>
          </cell>
          <cell r="F27">
            <v>690</v>
          </cell>
          <cell r="G27">
            <v>18</v>
          </cell>
          <cell r="H27">
            <v>124.19999999999999</v>
          </cell>
          <cell r="I27">
            <v>814.2</v>
          </cell>
        </row>
        <row r="28">
          <cell r="B28" t="str">
            <v>Ichiban</v>
          </cell>
          <cell r="C28" t="str">
            <v>Chlorantraniliprole 18.5% SC</v>
          </cell>
          <cell r="D28" t="str">
            <v>Jaandar</v>
          </cell>
          <cell r="E28" t="str">
            <v>150 ML</v>
          </cell>
          <cell r="F28">
            <v>360</v>
          </cell>
          <cell r="G28">
            <v>18</v>
          </cell>
          <cell r="H28">
            <v>64.8</v>
          </cell>
          <cell r="I28">
            <v>424.8</v>
          </cell>
        </row>
        <row r="29">
          <cell r="B29" t="str">
            <v>Ichiban</v>
          </cell>
          <cell r="C29" t="str">
            <v>Chlorantraniliprole 18.5% SC</v>
          </cell>
          <cell r="D29" t="str">
            <v>Jaandar</v>
          </cell>
          <cell r="E29" t="str">
            <v>60 ML</v>
          </cell>
          <cell r="F29">
            <v>156</v>
          </cell>
          <cell r="G29">
            <v>18</v>
          </cell>
          <cell r="H29">
            <v>28.08</v>
          </cell>
          <cell r="I29">
            <v>184.07999999999998</v>
          </cell>
        </row>
        <row r="30">
          <cell r="B30" t="str">
            <v>Ichiban</v>
          </cell>
          <cell r="C30" t="str">
            <v>Chlorantraniliprole 18.5% SC</v>
          </cell>
          <cell r="D30" t="str">
            <v>Jaandar</v>
          </cell>
          <cell r="E30" t="str">
            <v>30 ML</v>
          </cell>
          <cell r="F30">
            <v>84</v>
          </cell>
          <cell r="G30">
            <v>18</v>
          </cell>
          <cell r="H30">
            <v>15.12</v>
          </cell>
          <cell r="I30">
            <v>99.12</v>
          </cell>
        </row>
        <row r="31">
          <cell r="B31" t="str">
            <v>Ichiban</v>
          </cell>
          <cell r="C31" t="str">
            <v>Chlorantraniliprole 18.5% SC</v>
          </cell>
          <cell r="D31" t="str">
            <v>Jaandar</v>
          </cell>
          <cell r="E31" t="str">
            <v>10 ML</v>
          </cell>
          <cell r="F31">
            <v>38</v>
          </cell>
          <cell r="G31">
            <v>18</v>
          </cell>
          <cell r="H31">
            <v>6.84</v>
          </cell>
          <cell r="I31">
            <v>44.84</v>
          </cell>
        </row>
        <row r="32">
          <cell r="B32" t="str">
            <v>Ichiban</v>
          </cell>
          <cell r="C32" t="str">
            <v>Emamectin Benzoate 5% SG</v>
          </cell>
          <cell r="D32" t="str">
            <v>Kitakata</v>
          </cell>
          <cell r="E32" t="str">
            <v>1000 GMS</v>
          </cell>
          <cell r="F32">
            <v>1000</v>
          </cell>
          <cell r="G32">
            <v>18</v>
          </cell>
          <cell r="H32">
            <v>180</v>
          </cell>
          <cell r="I32">
            <v>1180</v>
          </cell>
        </row>
        <row r="33">
          <cell r="B33" t="str">
            <v>Ichiban</v>
          </cell>
          <cell r="C33" t="str">
            <v>Emamectin Benzoate 5% SG</v>
          </cell>
          <cell r="D33" t="str">
            <v>Kitakata</v>
          </cell>
          <cell r="E33" t="str">
            <v>500 GMS</v>
          </cell>
          <cell r="F33">
            <v>525</v>
          </cell>
          <cell r="G33">
            <v>18</v>
          </cell>
          <cell r="H33">
            <v>94.5</v>
          </cell>
          <cell r="I33">
            <v>619.5</v>
          </cell>
        </row>
        <row r="34">
          <cell r="B34" t="str">
            <v>Ichiban</v>
          </cell>
          <cell r="C34" t="str">
            <v>Emamectin Benzoate 5% SG</v>
          </cell>
          <cell r="D34" t="str">
            <v>Kitakata</v>
          </cell>
          <cell r="E34" t="str">
            <v>250 GMS</v>
          </cell>
          <cell r="F34">
            <v>275</v>
          </cell>
          <cell r="G34">
            <v>18</v>
          </cell>
          <cell r="H34">
            <v>49.5</v>
          </cell>
          <cell r="I34">
            <v>324.5</v>
          </cell>
        </row>
        <row r="35">
          <cell r="B35" t="str">
            <v>Ichiban</v>
          </cell>
          <cell r="C35" t="str">
            <v>Emamectin Benzoate 5% SG</v>
          </cell>
          <cell r="D35" t="str">
            <v>Kitakata</v>
          </cell>
          <cell r="E35" t="str">
            <v>100 GMS</v>
          </cell>
          <cell r="F35">
            <v>120</v>
          </cell>
          <cell r="G35">
            <v>18</v>
          </cell>
          <cell r="H35">
            <v>21.599999999999998</v>
          </cell>
          <cell r="I35">
            <v>141.6</v>
          </cell>
        </row>
        <row r="36">
          <cell r="B36" t="str">
            <v>Ichiban</v>
          </cell>
          <cell r="C36" t="str">
            <v>Emamectin Benzoate 5% SG</v>
          </cell>
          <cell r="D36" t="str">
            <v>Kitakata</v>
          </cell>
          <cell r="E36" t="str">
            <v>50 GMS</v>
          </cell>
          <cell r="F36">
            <v>65</v>
          </cell>
          <cell r="G36">
            <v>18</v>
          </cell>
          <cell r="H36">
            <v>11.7</v>
          </cell>
          <cell r="I36">
            <v>76.7</v>
          </cell>
        </row>
        <row r="37">
          <cell r="B37" t="str">
            <v>Ichiban</v>
          </cell>
          <cell r="C37" t="str">
            <v>Emamectin Benzoate 5% SG</v>
          </cell>
          <cell r="D37" t="str">
            <v>Kitakata</v>
          </cell>
          <cell r="E37" t="str">
            <v>10 GMS</v>
          </cell>
          <cell r="F37">
            <v>16</v>
          </cell>
          <cell r="G37">
            <v>18</v>
          </cell>
          <cell r="H37">
            <v>2.88</v>
          </cell>
          <cell r="I37">
            <v>18.88</v>
          </cell>
        </row>
        <row r="38">
          <cell r="B38" t="str">
            <v>Ichiban</v>
          </cell>
          <cell r="C38" t="str">
            <v>Novaluron 5.25% + Indoxacarb 4.5% SC</v>
          </cell>
          <cell r="D38" t="str">
            <v>Novacrop</v>
          </cell>
          <cell r="E38" t="str">
            <v>1000 ML</v>
          </cell>
          <cell r="F38">
            <v>2000</v>
          </cell>
          <cell r="G38">
            <v>18</v>
          </cell>
          <cell r="H38">
            <v>360</v>
          </cell>
          <cell r="I38">
            <v>2360</v>
          </cell>
        </row>
        <row r="39">
          <cell r="B39" t="str">
            <v>Ichiban</v>
          </cell>
          <cell r="C39" t="str">
            <v>Novaluron 5.25% + Indoxacarb 4.5% SC</v>
          </cell>
          <cell r="D39" t="str">
            <v>Novacrop</v>
          </cell>
          <cell r="E39" t="str">
            <v>500 ML</v>
          </cell>
          <cell r="F39">
            <v>1025</v>
          </cell>
          <cell r="G39">
            <v>18</v>
          </cell>
          <cell r="H39">
            <v>184.5</v>
          </cell>
          <cell r="I39">
            <v>1209.5</v>
          </cell>
        </row>
        <row r="40">
          <cell r="B40" t="str">
            <v>Ichiban</v>
          </cell>
          <cell r="C40" t="str">
            <v>Novaluron 5.25% + Indoxacarb 4.5% SC</v>
          </cell>
          <cell r="D40" t="str">
            <v>Novacrop</v>
          </cell>
          <cell r="E40" t="str">
            <v>250 ML</v>
          </cell>
          <cell r="F40">
            <v>525</v>
          </cell>
          <cell r="G40">
            <v>18</v>
          </cell>
          <cell r="H40">
            <v>94.5</v>
          </cell>
          <cell r="I40">
            <v>619.5</v>
          </cell>
        </row>
        <row r="41">
          <cell r="B41" t="str">
            <v>Ichiban</v>
          </cell>
          <cell r="C41" t="str">
            <v>Novaluron 5.25% + Indoxacarb 4.5% SC</v>
          </cell>
          <cell r="D41" t="str">
            <v>Novacrop</v>
          </cell>
          <cell r="E41" t="str">
            <v>100 ML</v>
          </cell>
          <cell r="F41">
            <v>220</v>
          </cell>
          <cell r="G41">
            <v>18</v>
          </cell>
          <cell r="H41">
            <v>39.6</v>
          </cell>
          <cell r="I41">
            <v>259.60000000000002</v>
          </cell>
        </row>
        <row r="42">
          <cell r="B42" t="str">
            <v>Ichiban</v>
          </cell>
          <cell r="C42" t="str">
            <v>Cypermethrin 10% + Indoxacarb 10% SC</v>
          </cell>
          <cell r="D42" t="str">
            <v>Novacrop super</v>
          </cell>
          <cell r="E42" t="str">
            <v>1000 ML</v>
          </cell>
          <cell r="F42">
            <v>2350</v>
          </cell>
          <cell r="G42">
            <v>18</v>
          </cell>
          <cell r="H42">
            <v>423</v>
          </cell>
          <cell r="I42">
            <v>2773</v>
          </cell>
        </row>
        <row r="43">
          <cell r="B43" t="str">
            <v>Ichiban</v>
          </cell>
          <cell r="C43" t="str">
            <v>Cypermethrin 10% + Indoxacarb 10% SC</v>
          </cell>
          <cell r="D43" t="str">
            <v>Novacrop super</v>
          </cell>
          <cell r="E43" t="str">
            <v>500 ML</v>
          </cell>
          <cell r="F43">
            <v>1200</v>
          </cell>
          <cell r="G43">
            <v>18</v>
          </cell>
          <cell r="H43">
            <v>216</v>
          </cell>
          <cell r="I43">
            <v>1416</v>
          </cell>
        </row>
        <row r="44">
          <cell r="B44" t="str">
            <v>Ichiban</v>
          </cell>
          <cell r="C44" t="str">
            <v>Cypermethrin 10% + Indoxacarb 10% SC</v>
          </cell>
          <cell r="D44" t="str">
            <v>Novacrop super</v>
          </cell>
          <cell r="E44" t="str">
            <v>250 ML</v>
          </cell>
          <cell r="F44">
            <v>612.5</v>
          </cell>
          <cell r="G44">
            <v>18</v>
          </cell>
          <cell r="H44">
            <v>110.25</v>
          </cell>
          <cell r="I44">
            <v>722.75</v>
          </cell>
        </row>
        <row r="45">
          <cell r="B45" t="str">
            <v>Ichiban</v>
          </cell>
          <cell r="C45" t="str">
            <v>Cypermethrin 10% + Indoxacarb 10% SC</v>
          </cell>
          <cell r="D45" t="str">
            <v>Novacrop super</v>
          </cell>
          <cell r="E45" t="str">
            <v>100 ML</v>
          </cell>
          <cell r="F45">
            <v>255</v>
          </cell>
          <cell r="G45">
            <v>18</v>
          </cell>
          <cell r="H45">
            <v>45.9</v>
          </cell>
          <cell r="I45">
            <v>300.89999999999998</v>
          </cell>
        </row>
        <row r="46">
          <cell r="B46" t="str">
            <v>Ichiban</v>
          </cell>
          <cell r="C46" t="str">
            <v>Flubendiamide 19.92% + Thiachloprid 19.92%  SC</v>
          </cell>
          <cell r="D46" t="str">
            <v>Radiation</v>
          </cell>
          <cell r="E46" t="str">
            <v>250 ML</v>
          </cell>
          <cell r="F46">
            <v>1650</v>
          </cell>
          <cell r="G46">
            <v>18</v>
          </cell>
          <cell r="H46">
            <v>297</v>
          </cell>
          <cell r="I46">
            <v>1947</v>
          </cell>
        </row>
        <row r="47">
          <cell r="B47" t="str">
            <v>Ichiban</v>
          </cell>
          <cell r="C47" t="str">
            <v>Flubendiamide 19.92% + Thiachloprid 19.92%  SC</v>
          </cell>
          <cell r="D47" t="str">
            <v>Radiation</v>
          </cell>
          <cell r="E47" t="str">
            <v>100 ML</v>
          </cell>
          <cell r="F47">
            <v>670</v>
          </cell>
          <cell r="G47">
            <v>18</v>
          </cell>
          <cell r="H47">
            <v>120.6</v>
          </cell>
          <cell r="I47">
            <v>790.6</v>
          </cell>
        </row>
        <row r="48">
          <cell r="B48" t="str">
            <v>Ichiban</v>
          </cell>
          <cell r="C48" t="str">
            <v>Flubendiamide 19.92% + Thiachloprid 19.92%  SC</v>
          </cell>
          <cell r="D48" t="str">
            <v>Radiation</v>
          </cell>
          <cell r="E48" t="str">
            <v>50 ML</v>
          </cell>
          <cell r="F48">
            <v>345</v>
          </cell>
          <cell r="G48">
            <v>18</v>
          </cell>
          <cell r="H48">
            <v>62.099999999999994</v>
          </cell>
          <cell r="I48">
            <v>407.1</v>
          </cell>
        </row>
        <row r="49">
          <cell r="B49" t="str">
            <v>Ichiban</v>
          </cell>
          <cell r="C49" t="str">
            <v>Spinosad 2.5% SC</v>
          </cell>
          <cell r="D49" t="str">
            <v>Sanza</v>
          </cell>
          <cell r="E49" t="str">
            <v>1000 ML</v>
          </cell>
          <cell r="F49">
            <v>1700</v>
          </cell>
          <cell r="G49">
            <v>18</v>
          </cell>
          <cell r="H49">
            <v>306</v>
          </cell>
          <cell r="I49">
            <v>2006</v>
          </cell>
        </row>
        <row r="50">
          <cell r="B50" t="str">
            <v>Ichiban</v>
          </cell>
          <cell r="C50" t="str">
            <v>Spinosad 2.5% SC</v>
          </cell>
          <cell r="D50" t="str">
            <v>Sanza</v>
          </cell>
          <cell r="E50" t="str">
            <v>500 ML</v>
          </cell>
          <cell r="F50">
            <v>862.5</v>
          </cell>
          <cell r="G50">
            <v>18</v>
          </cell>
          <cell r="H50">
            <v>155.25</v>
          </cell>
          <cell r="I50">
            <v>1017.75</v>
          </cell>
        </row>
        <row r="51">
          <cell r="B51" t="str">
            <v>Ichiban</v>
          </cell>
          <cell r="C51" t="str">
            <v>Spinosad 2.5% SC</v>
          </cell>
          <cell r="D51" t="str">
            <v>Sanza</v>
          </cell>
          <cell r="E51" t="str">
            <v>250 ML</v>
          </cell>
          <cell r="F51">
            <v>443.75</v>
          </cell>
          <cell r="G51">
            <v>18</v>
          </cell>
          <cell r="H51">
            <v>79.875</v>
          </cell>
          <cell r="I51">
            <v>523.625</v>
          </cell>
        </row>
        <row r="52">
          <cell r="B52" t="str">
            <v>Ichiban</v>
          </cell>
          <cell r="C52" t="str">
            <v>Spinosad 2.5% SC</v>
          </cell>
          <cell r="D52" t="str">
            <v>Sanza</v>
          </cell>
          <cell r="E52" t="str">
            <v>100 ML</v>
          </cell>
          <cell r="F52">
            <v>185</v>
          </cell>
          <cell r="G52">
            <v>18</v>
          </cell>
          <cell r="H52">
            <v>33.299999999999997</v>
          </cell>
          <cell r="I52">
            <v>218.3</v>
          </cell>
        </row>
        <row r="53">
          <cell r="B53" t="str">
            <v>Ichiban</v>
          </cell>
          <cell r="C53" t="str">
            <v>Spinosad 45% SC</v>
          </cell>
          <cell r="D53" t="str">
            <v>Sanza top</v>
          </cell>
          <cell r="E53" t="str">
            <v>75 ML</v>
          </cell>
          <cell r="F53">
            <v>1500</v>
          </cell>
          <cell r="G53">
            <v>18</v>
          </cell>
          <cell r="H53">
            <v>270</v>
          </cell>
          <cell r="I53">
            <v>1770</v>
          </cell>
        </row>
        <row r="54">
          <cell r="B54" t="str">
            <v>Ichiban</v>
          </cell>
          <cell r="C54" t="str">
            <v>Spinosad 45% SC</v>
          </cell>
          <cell r="D54" t="str">
            <v>Sanza top</v>
          </cell>
          <cell r="E54" t="str">
            <v>7 ML</v>
          </cell>
          <cell r="F54">
            <v>154</v>
          </cell>
          <cell r="G54">
            <v>18</v>
          </cell>
          <cell r="H54">
            <v>27.72</v>
          </cell>
          <cell r="I54">
            <v>181.72</v>
          </cell>
        </row>
        <row r="55">
          <cell r="B55" t="str">
            <v>Ichiban</v>
          </cell>
          <cell r="C55" t="str">
            <v>Novaluron 10% EC</v>
          </cell>
          <cell r="D55" t="str">
            <v>Terranova</v>
          </cell>
          <cell r="E55" t="str">
            <v>1000 ML</v>
          </cell>
          <cell r="F55">
            <v>2200</v>
          </cell>
          <cell r="G55">
            <v>18</v>
          </cell>
          <cell r="H55">
            <v>396</v>
          </cell>
          <cell r="I55">
            <v>2596</v>
          </cell>
        </row>
        <row r="56">
          <cell r="B56" t="str">
            <v>Ichiban</v>
          </cell>
          <cell r="C56" t="str">
            <v>Novaluron 10% EC</v>
          </cell>
          <cell r="D56" t="str">
            <v>Terranova</v>
          </cell>
          <cell r="E56" t="str">
            <v>500 ML</v>
          </cell>
          <cell r="F56">
            <v>1125</v>
          </cell>
          <cell r="G56">
            <v>18</v>
          </cell>
          <cell r="H56">
            <v>202.5</v>
          </cell>
          <cell r="I56">
            <v>1327.5</v>
          </cell>
        </row>
        <row r="57">
          <cell r="B57" t="str">
            <v>Ichiban</v>
          </cell>
          <cell r="C57" t="str">
            <v>Novaluron 10% EC</v>
          </cell>
          <cell r="D57" t="str">
            <v>Terranova</v>
          </cell>
          <cell r="E57" t="str">
            <v>250 ML</v>
          </cell>
          <cell r="F57">
            <v>575</v>
          </cell>
          <cell r="G57">
            <v>18</v>
          </cell>
          <cell r="H57">
            <v>103.5</v>
          </cell>
          <cell r="I57">
            <v>678.5</v>
          </cell>
        </row>
        <row r="58">
          <cell r="B58" t="str">
            <v>Ichiban</v>
          </cell>
          <cell r="C58" t="str">
            <v>Novaluron 10% EC</v>
          </cell>
          <cell r="D58" t="str">
            <v>Terranova</v>
          </cell>
          <cell r="E58" t="str">
            <v>100 ML</v>
          </cell>
          <cell r="F58">
            <v>240</v>
          </cell>
          <cell r="G58">
            <v>18</v>
          </cell>
          <cell r="H58">
            <v>43.199999999999996</v>
          </cell>
          <cell r="I58">
            <v>283.2</v>
          </cell>
        </row>
        <row r="59">
          <cell r="B59" t="str">
            <v>Ichiban</v>
          </cell>
          <cell r="C59" t="str">
            <v>Methoxyfenozide 23% SC</v>
          </cell>
          <cell r="D59" t="str">
            <v>Debonair</v>
          </cell>
          <cell r="E59" t="str">
            <v>1000 ML</v>
          </cell>
          <cell r="F59">
            <v>4000</v>
          </cell>
          <cell r="G59">
            <v>18</v>
          </cell>
          <cell r="H59">
            <v>720</v>
          </cell>
          <cell r="I59">
            <v>4720</v>
          </cell>
        </row>
        <row r="60">
          <cell r="B60" t="str">
            <v>Ichiban</v>
          </cell>
          <cell r="C60" t="str">
            <v>Methoxyfenozide 23% SC</v>
          </cell>
          <cell r="D60" t="str">
            <v>Debonair</v>
          </cell>
          <cell r="E60" t="str">
            <v>500 ML</v>
          </cell>
          <cell r="F60">
            <v>2025</v>
          </cell>
          <cell r="G60">
            <v>18</v>
          </cell>
          <cell r="H60">
            <v>364.5</v>
          </cell>
          <cell r="I60">
            <v>2389.5</v>
          </cell>
        </row>
        <row r="61">
          <cell r="B61" t="str">
            <v>Ichiban</v>
          </cell>
          <cell r="C61" t="str">
            <v>Methoxyfenozide 23% SC</v>
          </cell>
          <cell r="D61" t="str">
            <v>Debonair</v>
          </cell>
          <cell r="E61" t="str">
            <v>250 ML</v>
          </cell>
          <cell r="F61">
            <v>1025</v>
          </cell>
          <cell r="G61">
            <v>18</v>
          </cell>
          <cell r="H61">
            <v>184.5</v>
          </cell>
          <cell r="I61">
            <v>1209.5</v>
          </cell>
        </row>
        <row r="62">
          <cell r="B62" t="str">
            <v>Ichiban</v>
          </cell>
          <cell r="C62" t="str">
            <v>Methoxyfenozide 23% SC</v>
          </cell>
          <cell r="D62" t="str">
            <v>Debonair</v>
          </cell>
          <cell r="E62" t="str">
            <v>100 ML</v>
          </cell>
          <cell r="F62">
            <v>420</v>
          </cell>
          <cell r="G62">
            <v>18</v>
          </cell>
          <cell r="H62">
            <v>75.599999999999994</v>
          </cell>
          <cell r="I62">
            <v>495.6</v>
          </cell>
        </row>
        <row r="63">
          <cell r="B63" t="str">
            <v>Ichiban</v>
          </cell>
          <cell r="C63" t="str">
            <v>Dinotefuran 15% + Pymetrozine 45% WG</v>
          </cell>
          <cell r="D63" t="str">
            <v>Angrej</v>
          </cell>
          <cell r="E63" t="str">
            <v>666 GMS</v>
          </cell>
          <cell r="F63">
            <v>1998</v>
          </cell>
          <cell r="G63">
            <v>18</v>
          </cell>
          <cell r="H63">
            <v>359.64</v>
          </cell>
          <cell r="I63">
            <v>2357.64</v>
          </cell>
        </row>
        <row r="64">
          <cell r="B64" t="str">
            <v>Ichiban</v>
          </cell>
          <cell r="C64" t="str">
            <v>Dinotefuran 15% + Pymetrozine 45% WG</v>
          </cell>
          <cell r="D64" t="str">
            <v>Angrej</v>
          </cell>
          <cell r="E64" t="str">
            <v>333 GMS</v>
          </cell>
          <cell r="F64">
            <v>1032.3</v>
          </cell>
          <cell r="G64">
            <v>18</v>
          </cell>
          <cell r="H64">
            <v>185.81399999999999</v>
          </cell>
          <cell r="I64">
            <v>1218.114</v>
          </cell>
        </row>
        <row r="65">
          <cell r="B65" t="str">
            <v>Ichiban</v>
          </cell>
          <cell r="C65" t="str">
            <v>Dinotefuran 15% + Pymetrozine 45% WG</v>
          </cell>
          <cell r="D65" t="str">
            <v>Angrej</v>
          </cell>
          <cell r="E65" t="str">
            <v>133.2 GMS</v>
          </cell>
          <cell r="F65">
            <v>426.24</v>
          </cell>
          <cell r="G65">
            <v>18</v>
          </cell>
          <cell r="H65">
            <v>76.723200000000006</v>
          </cell>
          <cell r="I65">
            <v>502.96320000000003</v>
          </cell>
        </row>
        <row r="66">
          <cell r="B66" t="str">
            <v>Ichiban</v>
          </cell>
          <cell r="C66" t="str">
            <v>Acephate 50% + Fipronil 5% WDG</v>
          </cell>
          <cell r="D66" t="str">
            <v>Aslan super</v>
          </cell>
          <cell r="E66" t="str">
            <v>1000 GMS</v>
          </cell>
          <cell r="F66">
            <v>1280</v>
          </cell>
          <cell r="G66">
            <v>18</v>
          </cell>
          <cell r="H66">
            <v>230.39999999999998</v>
          </cell>
          <cell r="I66">
            <v>1510.4</v>
          </cell>
        </row>
        <row r="67">
          <cell r="B67" t="str">
            <v>Ichiban</v>
          </cell>
          <cell r="C67" t="str">
            <v>Acephate 50% + Fipronil 5% WDG</v>
          </cell>
          <cell r="D67" t="str">
            <v>Aslan super</v>
          </cell>
          <cell r="E67" t="str">
            <v>500 GMS</v>
          </cell>
          <cell r="F67">
            <v>652.5</v>
          </cell>
          <cell r="G67">
            <v>18</v>
          </cell>
          <cell r="H67">
            <v>117.44999999999999</v>
          </cell>
          <cell r="I67">
            <v>769.95</v>
          </cell>
        </row>
        <row r="68">
          <cell r="B68" t="str">
            <v>Ichiban</v>
          </cell>
          <cell r="C68" t="str">
            <v>Acephate 50% + Fipronil 5% WDG</v>
          </cell>
          <cell r="D68" t="str">
            <v>Aslan super</v>
          </cell>
          <cell r="E68" t="str">
            <v>250 GMS</v>
          </cell>
          <cell r="F68">
            <v>335</v>
          </cell>
          <cell r="G68">
            <v>18</v>
          </cell>
          <cell r="H68">
            <v>60.3</v>
          </cell>
          <cell r="I68">
            <v>395.3</v>
          </cell>
        </row>
        <row r="69">
          <cell r="B69" t="str">
            <v>Ichiban</v>
          </cell>
          <cell r="C69" t="str">
            <v>Acephate 50% + Fipronil 5% WDG</v>
          </cell>
          <cell r="D69" t="str">
            <v>Aslan super</v>
          </cell>
          <cell r="E69" t="str">
            <v>100 GMS</v>
          </cell>
          <cell r="F69">
            <v>140.5</v>
          </cell>
          <cell r="G69">
            <v>18</v>
          </cell>
          <cell r="H69">
            <v>25.29</v>
          </cell>
          <cell r="I69">
            <v>165.79</v>
          </cell>
        </row>
        <row r="70">
          <cell r="B70" t="str">
            <v>Ichiban</v>
          </cell>
          <cell r="C70" t="str">
            <v>Thiacloprid 21.7% SC</v>
          </cell>
          <cell r="D70" t="str">
            <v>Binary</v>
          </cell>
          <cell r="E70" t="str">
            <v>1000 ML</v>
          </cell>
          <cell r="F70">
            <v>1600</v>
          </cell>
          <cell r="G70">
            <v>18</v>
          </cell>
          <cell r="H70">
            <v>288</v>
          </cell>
          <cell r="I70">
            <v>1888</v>
          </cell>
        </row>
        <row r="71">
          <cell r="B71" t="str">
            <v>Ichiban</v>
          </cell>
          <cell r="C71" t="str">
            <v>Thiacloprid 21.7% SC</v>
          </cell>
          <cell r="D71" t="str">
            <v>Binary</v>
          </cell>
          <cell r="E71" t="str">
            <v>500 ML</v>
          </cell>
          <cell r="F71">
            <v>812.5</v>
          </cell>
          <cell r="G71">
            <v>18</v>
          </cell>
          <cell r="H71">
            <v>146.25</v>
          </cell>
          <cell r="I71">
            <v>958.75</v>
          </cell>
        </row>
        <row r="72">
          <cell r="B72" t="str">
            <v>Ichiban</v>
          </cell>
          <cell r="C72" t="str">
            <v>Thiacloprid 21.7% SC</v>
          </cell>
          <cell r="D72" t="str">
            <v>Binary</v>
          </cell>
          <cell r="E72" t="str">
            <v>250 ML</v>
          </cell>
          <cell r="F72">
            <v>418.75</v>
          </cell>
          <cell r="G72">
            <v>18</v>
          </cell>
          <cell r="H72">
            <v>75.375</v>
          </cell>
          <cell r="I72">
            <v>494.125</v>
          </cell>
        </row>
        <row r="73">
          <cell r="B73" t="str">
            <v>Ichiban</v>
          </cell>
          <cell r="C73" t="str">
            <v>Thiacloprid 21.7% SC</v>
          </cell>
          <cell r="D73" t="str">
            <v>Binary</v>
          </cell>
          <cell r="E73" t="str">
            <v>100 ML</v>
          </cell>
          <cell r="F73">
            <v>175</v>
          </cell>
          <cell r="G73">
            <v>18</v>
          </cell>
          <cell r="H73">
            <v>31.5</v>
          </cell>
          <cell r="I73">
            <v>206.5</v>
          </cell>
        </row>
        <row r="74">
          <cell r="B74" t="str">
            <v>Ichiban</v>
          </cell>
          <cell r="C74" t="str">
            <v>Pymetrozine 50% WG</v>
          </cell>
          <cell r="D74" t="str">
            <v>Chausath</v>
          </cell>
          <cell r="E74" t="str">
            <v>1000 GMS</v>
          </cell>
          <cell r="F74">
            <v>1315</v>
          </cell>
          <cell r="G74">
            <v>18</v>
          </cell>
          <cell r="H74">
            <v>236.7</v>
          </cell>
          <cell r="I74">
            <v>1551.7</v>
          </cell>
        </row>
        <row r="75">
          <cell r="B75" t="str">
            <v>Ichiban</v>
          </cell>
          <cell r="C75" t="str">
            <v>Pymetrozine 50% WG</v>
          </cell>
          <cell r="D75" t="str">
            <v>Chausath</v>
          </cell>
          <cell r="E75" t="str">
            <v>500 GMS</v>
          </cell>
          <cell r="F75">
            <v>670</v>
          </cell>
          <cell r="G75">
            <v>18</v>
          </cell>
          <cell r="H75">
            <v>120.6</v>
          </cell>
          <cell r="I75">
            <v>790.6</v>
          </cell>
        </row>
        <row r="76">
          <cell r="B76" t="str">
            <v>Ichiban</v>
          </cell>
          <cell r="C76" t="str">
            <v>Pymetrozine 50% WG</v>
          </cell>
          <cell r="D76" t="str">
            <v>Chausath</v>
          </cell>
          <cell r="E76" t="str">
            <v>250 GMS</v>
          </cell>
          <cell r="F76">
            <v>343.75</v>
          </cell>
          <cell r="G76">
            <v>18</v>
          </cell>
          <cell r="H76">
            <v>61.875</v>
          </cell>
          <cell r="I76">
            <v>405.625</v>
          </cell>
        </row>
        <row r="77">
          <cell r="B77" t="str">
            <v>Ichiban</v>
          </cell>
          <cell r="C77" t="str">
            <v>Pymetrozine 50% WG</v>
          </cell>
          <cell r="D77" t="str">
            <v>Chausath</v>
          </cell>
          <cell r="E77" t="str">
            <v>120 GMS</v>
          </cell>
          <cell r="F77">
            <v>172.8</v>
          </cell>
          <cell r="G77">
            <v>18</v>
          </cell>
          <cell r="H77">
            <v>31.103999999999999</v>
          </cell>
          <cell r="I77">
            <v>203.904</v>
          </cell>
        </row>
        <row r="78">
          <cell r="B78" t="str">
            <v>Ichiban</v>
          </cell>
          <cell r="C78" t="str">
            <v>Clothianidin 50% WG</v>
          </cell>
          <cell r="D78" t="str">
            <v>Cyberking</v>
          </cell>
          <cell r="E78" t="str">
            <v>100 GMS</v>
          </cell>
          <cell r="F78">
            <v>300</v>
          </cell>
          <cell r="G78">
            <v>18</v>
          </cell>
          <cell r="H78">
            <v>54</v>
          </cell>
          <cell r="I78">
            <v>354</v>
          </cell>
        </row>
        <row r="79">
          <cell r="B79" t="str">
            <v>Ichiban</v>
          </cell>
          <cell r="C79" t="str">
            <v>Clothianidin 50% WG</v>
          </cell>
          <cell r="D79" t="str">
            <v>Cyberking</v>
          </cell>
          <cell r="E79" t="str">
            <v>50 GMS</v>
          </cell>
          <cell r="F79">
            <v>155</v>
          </cell>
          <cell r="G79">
            <v>18</v>
          </cell>
          <cell r="H79">
            <v>27.9</v>
          </cell>
          <cell r="I79">
            <v>182.9</v>
          </cell>
        </row>
        <row r="80">
          <cell r="B80" t="str">
            <v>Ichiban</v>
          </cell>
          <cell r="C80" t="str">
            <v>Clothianidin 50% WG</v>
          </cell>
          <cell r="D80" t="str">
            <v>Cyberking</v>
          </cell>
          <cell r="E80" t="str">
            <v>6 GMS</v>
          </cell>
          <cell r="F80">
            <v>21</v>
          </cell>
          <cell r="G80">
            <v>18</v>
          </cell>
          <cell r="H80">
            <v>3.78</v>
          </cell>
          <cell r="I80">
            <v>24.78</v>
          </cell>
        </row>
        <row r="81">
          <cell r="B81" t="str">
            <v>Ichiban</v>
          </cell>
          <cell r="C81" t="str">
            <v>Thiamethoxam 25% WG</v>
          </cell>
          <cell r="D81" t="str">
            <v>Ikabana</v>
          </cell>
          <cell r="E81" t="str">
            <v>1000 GMS</v>
          </cell>
          <cell r="F81">
            <v>450</v>
          </cell>
          <cell r="G81">
            <v>18</v>
          </cell>
          <cell r="H81">
            <v>81</v>
          </cell>
          <cell r="I81">
            <v>531</v>
          </cell>
        </row>
        <row r="82">
          <cell r="B82" t="str">
            <v>Ichiban</v>
          </cell>
          <cell r="C82" t="str">
            <v>Thiamethoxam 25% WG</v>
          </cell>
          <cell r="D82" t="str">
            <v>Ikabana</v>
          </cell>
          <cell r="E82" t="str">
            <v>500 GMS</v>
          </cell>
          <cell r="F82">
            <v>230</v>
          </cell>
          <cell r="G82">
            <v>18</v>
          </cell>
          <cell r="H82">
            <v>41.4</v>
          </cell>
          <cell r="I82">
            <v>271.39999999999998</v>
          </cell>
        </row>
        <row r="83">
          <cell r="B83" t="str">
            <v>Ichiban</v>
          </cell>
          <cell r="C83" t="str">
            <v>Thiamethoxam 25% WG</v>
          </cell>
          <cell r="D83" t="str">
            <v>Ikabana</v>
          </cell>
          <cell r="E83" t="str">
            <v>250 GMS</v>
          </cell>
          <cell r="F83">
            <v>122.5</v>
          </cell>
          <cell r="G83">
            <v>18</v>
          </cell>
          <cell r="H83">
            <v>22.05</v>
          </cell>
          <cell r="I83">
            <v>144.55000000000001</v>
          </cell>
        </row>
        <row r="84">
          <cell r="B84" t="str">
            <v>Ichiban</v>
          </cell>
          <cell r="C84" t="str">
            <v>Thiamethoxam 25% WG</v>
          </cell>
          <cell r="D84" t="str">
            <v>Ikabana</v>
          </cell>
          <cell r="E84" t="str">
            <v>100 GMS</v>
          </cell>
          <cell r="F84">
            <v>53</v>
          </cell>
          <cell r="G84">
            <v>18</v>
          </cell>
          <cell r="H84">
            <v>9.5399999999999991</v>
          </cell>
          <cell r="I84">
            <v>62.54</v>
          </cell>
        </row>
        <row r="85">
          <cell r="B85" t="str">
            <v>Ichiban</v>
          </cell>
          <cell r="C85" t="str">
            <v>Thiamethoxam 25% WG</v>
          </cell>
          <cell r="D85" t="str">
            <v>Ikabana</v>
          </cell>
          <cell r="E85" t="str">
            <v>5 GMS</v>
          </cell>
          <cell r="F85">
            <v>4.75</v>
          </cell>
          <cell r="G85">
            <v>18</v>
          </cell>
          <cell r="H85">
            <v>0.85499999999999998</v>
          </cell>
          <cell r="I85">
            <v>5.6050000000000004</v>
          </cell>
        </row>
        <row r="86">
          <cell r="B86" t="str">
            <v>Ichiban</v>
          </cell>
          <cell r="C86" t="str">
            <v>Dinotefuran 20% SG</v>
          </cell>
          <cell r="D86" t="str">
            <v>Kaalam</v>
          </cell>
          <cell r="E86" t="str">
            <v>1000 GMS</v>
          </cell>
          <cell r="F86">
            <v>1100</v>
          </cell>
          <cell r="G86">
            <v>18</v>
          </cell>
          <cell r="H86">
            <v>198</v>
          </cell>
          <cell r="I86">
            <v>1298</v>
          </cell>
        </row>
        <row r="87">
          <cell r="B87" t="str">
            <v>Ichiban</v>
          </cell>
          <cell r="C87" t="str">
            <v>Dinotefuran 20% SG</v>
          </cell>
          <cell r="D87" t="str">
            <v>Kaalam</v>
          </cell>
          <cell r="E87" t="str">
            <v>500 GMS</v>
          </cell>
          <cell r="F87">
            <v>562.5</v>
          </cell>
          <cell r="G87">
            <v>18</v>
          </cell>
          <cell r="H87">
            <v>101.25</v>
          </cell>
          <cell r="I87">
            <v>663.75</v>
          </cell>
        </row>
        <row r="88">
          <cell r="B88" t="str">
            <v>Ichiban</v>
          </cell>
          <cell r="C88" t="str">
            <v>Dinotefuran 20% SG</v>
          </cell>
          <cell r="D88" t="str">
            <v>Kaalam</v>
          </cell>
          <cell r="E88" t="str">
            <v>250 GMS</v>
          </cell>
          <cell r="F88">
            <v>290</v>
          </cell>
          <cell r="G88">
            <v>18</v>
          </cell>
          <cell r="H88">
            <v>52.199999999999996</v>
          </cell>
          <cell r="I88">
            <v>342.2</v>
          </cell>
        </row>
        <row r="89">
          <cell r="B89" t="str">
            <v>Ichiban</v>
          </cell>
          <cell r="C89" t="str">
            <v>Dinotefuran 20% SG</v>
          </cell>
          <cell r="D89" t="str">
            <v>Kaalam</v>
          </cell>
          <cell r="E89" t="str">
            <v>100 GMS</v>
          </cell>
          <cell r="F89">
            <v>122.5</v>
          </cell>
          <cell r="G89">
            <v>18</v>
          </cell>
          <cell r="H89">
            <v>22.05</v>
          </cell>
          <cell r="I89">
            <v>144.55000000000001</v>
          </cell>
        </row>
        <row r="90">
          <cell r="B90" t="str">
            <v>Ichiban</v>
          </cell>
          <cell r="C90" t="str">
            <v>Dinotefuran 20% SG</v>
          </cell>
          <cell r="D90" t="str">
            <v>Kaalam</v>
          </cell>
          <cell r="E90" t="str">
            <v>6 GMS</v>
          </cell>
          <cell r="F90">
            <v>9.6</v>
          </cell>
          <cell r="G90">
            <v>18</v>
          </cell>
          <cell r="H90">
            <v>1.728</v>
          </cell>
          <cell r="I90">
            <v>11.327999999999999</v>
          </cell>
        </row>
        <row r="91">
          <cell r="B91" t="str">
            <v>Ichiban</v>
          </cell>
          <cell r="C91" t="str">
            <v>Acetamiprid 20% SP</v>
          </cell>
          <cell r="D91" t="str">
            <v>Shabaas</v>
          </cell>
          <cell r="E91" t="str">
            <v>1000 GMS</v>
          </cell>
          <cell r="F91">
            <v>600</v>
          </cell>
          <cell r="G91">
            <v>18</v>
          </cell>
          <cell r="H91">
            <v>108</v>
          </cell>
          <cell r="I91">
            <v>708</v>
          </cell>
        </row>
        <row r="92">
          <cell r="B92" t="str">
            <v>Ichiban</v>
          </cell>
          <cell r="C92" t="str">
            <v>Acetamiprid 20% SP</v>
          </cell>
          <cell r="D92" t="str">
            <v>Shabaas</v>
          </cell>
          <cell r="E92" t="str">
            <v>500 GMS</v>
          </cell>
          <cell r="F92">
            <v>307.5</v>
          </cell>
          <cell r="G92">
            <v>18</v>
          </cell>
          <cell r="H92">
            <v>55.35</v>
          </cell>
          <cell r="I92">
            <v>362.85</v>
          </cell>
        </row>
        <row r="93">
          <cell r="B93" t="str">
            <v>Ichiban</v>
          </cell>
          <cell r="C93" t="str">
            <v>Acetamiprid 20% SP</v>
          </cell>
          <cell r="D93" t="str">
            <v>Shabaas</v>
          </cell>
          <cell r="E93" t="str">
            <v>250 GMS</v>
          </cell>
          <cell r="F93">
            <v>162.5</v>
          </cell>
          <cell r="G93">
            <v>18</v>
          </cell>
          <cell r="H93">
            <v>29.25</v>
          </cell>
          <cell r="I93">
            <v>191.75</v>
          </cell>
        </row>
        <row r="94">
          <cell r="B94" t="str">
            <v>Ichiban</v>
          </cell>
          <cell r="C94" t="str">
            <v>Acetamiprid 20% SP</v>
          </cell>
          <cell r="D94" t="str">
            <v>Shabaas</v>
          </cell>
          <cell r="E94" t="str">
            <v>100 GMS</v>
          </cell>
          <cell r="F94">
            <v>70</v>
          </cell>
          <cell r="G94">
            <v>18</v>
          </cell>
          <cell r="H94">
            <v>12.6</v>
          </cell>
          <cell r="I94">
            <v>82.6</v>
          </cell>
        </row>
        <row r="95">
          <cell r="B95" t="str">
            <v>Ichiban</v>
          </cell>
          <cell r="C95" t="str">
            <v>Acetamiprid 20% SP</v>
          </cell>
          <cell r="D95" t="str">
            <v>Shabaas</v>
          </cell>
          <cell r="E95" t="str">
            <v>50 GMS</v>
          </cell>
          <cell r="F95">
            <v>36.25</v>
          </cell>
          <cell r="G95">
            <v>18</v>
          </cell>
          <cell r="H95">
            <v>6.5249999999999995</v>
          </cell>
          <cell r="I95">
            <v>42.774999999999999</v>
          </cell>
        </row>
        <row r="96">
          <cell r="B96" t="str">
            <v>Ichiban</v>
          </cell>
          <cell r="C96" t="str">
            <v>Acetamiprid 20% SP</v>
          </cell>
          <cell r="D96" t="str">
            <v>Shabaas</v>
          </cell>
          <cell r="E96" t="str">
            <v>20 GMS</v>
          </cell>
          <cell r="F96">
            <v>16</v>
          </cell>
          <cell r="G96">
            <v>18</v>
          </cell>
          <cell r="H96">
            <v>2.88</v>
          </cell>
          <cell r="I96">
            <v>18.88</v>
          </cell>
        </row>
        <row r="97">
          <cell r="B97" t="str">
            <v>Ichiban</v>
          </cell>
          <cell r="C97" t="str">
            <v>Fipronil 40% + Imidacloprid 40% SC</v>
          </cell>
          <cell r="D97" t="str">
            <v>Splendor</v>
          </cell>
          <cell r="E97" t="str">
            <v>250 GMS</v>
          </cell>
          <cell r="F97">
            <v>1200</v>
          </cell>
          <cell r="G97">
            <v>18</v>
          </cell>
          <cell r="H97">
            <v>216</v>
          </cell>
          <cell r="I97">
            <v>1416</v>
          </cell>
        </row>
        <row r="98">
          <cell r="B98" t="str">
            <v>Ichiban</v>
          </cell>
          <cell r="C98" t="str">
            <v>Fipronil 40% + Imidacloprid 40% SC</v>
          </cell>
          <cell r="D98" t="str">
            <v>Splendor</v>
          </cell>
          <cell r="E98" t="str">
            <v>100 GMS</v>
          </cell>
          <cell r="F98">
            <v>490</v>
          </cell>
          <cell r="G98">
            <v>18</v>
          </cell>
          <cell r="H98">
            <v>88.2</v>
          </cell>
          <cell r="I98">
            <v>578.20000000000005</v>
          </cell>
        </row>
        <row r="99">
          <cell r="B99" t="str">
            <v>Ichiban</v>
          </cell>
          <cell r="C99" t="str">
            <v>Fipronil 40% + Imidacloprid 40% SC</v>
          </cell>
          <cell r="D99" t="str">
            <v>Splendor</v>
          </cell>
          <cell r="E99" t="str">
            <v>40 GMS</v>
          </cell>
          <cell r="F99">
            <v>200</v>
          </cell>
          <cell r="G99">
            <v>18</v>
          </cell>
          <cell r="H99">
            <v>36</v>
          </cell>
          <cell r="I99">
            <v>236</v>
          </cell>
        </row>
        <row r="100">
          <cell r="B100" t="str">
            <v>Ichiban</v>
          </cell>
          <cell r="C100" t="str">
            <v>Fipronil 40% + Imidacloprid 40% SC</v>
          </cell>
          <cell r="D100" t="str">
            <v>Splendor</v>
          </cell>
          <cell r="E100" t="str">
            <v>6 GMS</v>
          </cell>
          <cell r="F100">
            <v>33</v>
          </cell>
          <cell r="G100">
            <v>18</v>
          </cell>
          <cell r="H100">
            <v>5.9399999999999995</v>
          </cell>
          <cell r="I100">
            <v>38.94</v>
          </cell>
        </row>
        <row r="101">
          <cell r="B101" t="str">
            <v>Ichiban</v>
          </cell>
          <cell r="C101" t="str">
            <v>Ethiprole 10.7% + Pymetro 40%WG</v>
          </cell>
          <cell r="D101" t="str">
            <v>Betab</v>
          </cell>
          <cell r="E101" t="str">
            <v>500 GMS</v>
          </cell>
          <cell r="F101">
            <v>1600</v>
          </cell>
          <cell r="G101">
            <v>18</v>
          </cell>
          <cell r="H101">
            <v>288</v>
          </cell>
          <cell r="I101">
            <v>1888</v>
          </cell>
        </row>
        <row r="102">
          <cell r="B102" t="str">
            <v>Ichiban</v>
          </cell>
          <cell r="C102" t="str">
            <v>Ethiprole 10.7% + Pymetro 40%WG</v>
          </cell>
          <cell r="D102" t="str">
            <v>Betab</v>
          </cell>
          <cell r="E102" t="str">
            <v>170 GMS</v>
          </cell>
          <cell r="F102">
            <v>561</v>
          </cell>
          <cell r="G102">
            <v>18</v>
          </cell>
          <cell r="H102">
            <v>100.97999999999999</v>
          </cell>
          <cell r="I102">
            <v>661.98</v>
          </cell>
        </row>
        <row r="103">
          <cell r="B103" t="str">
            <v>Ichiban</v>
          </cell>
          <cell r="C103" t="str">
            <v>Thiamethoxam 30% FS</v>
          </cell>
          <cell r="D103" t="str">
            <v>Sudoku</v>
          </cell>
          <cell r="E103" t="str">
            <v>1000 ML</v>
          </cell>
          <cell r="F103">
            <v>550</v>
          </cell>
          <cell r="G103">
            <v>18</v>
          </cell>
          <cell r="H103">
            <v>99</v>
          </cell>
          <cell r="I103">
            <v>649</v>
          </cell>
        </row>
        <row r="104">
          <cell r="B104" t="str">
            <v>Ichiban</v>
          </cell>
          <cell r="C104" t="str">
            <v>Thiamethoxam 30% FS</v>
          </cell>
          <cell r="D104" t="str">
            <v>Sudoku</v>
          </cell>
          <cell r="E104" t="str">
            <v>500 ML</v>
          </cell>
          <cell r="F104">
            <v>285</v>
          </cell>
          <cell r="G104">
            <v>18</v>
          </cell>
          <cell r="H104">
            <v>51.3</v>
          </cell>
          <cell r="I104">
            <v>336.3</v>
          </cell>
        </row>
        <row r="105">
          <cell r="B105" t="str">
            <v>Ichiban</v>
          </cell>
          <cell r="C105" t="str">
            <v>Thiamethoxam 30% FS</v>
          </cell>
          <cell r="D105" t="str">
            <v>Sudoku</v>
          </cell>
          <cell r="E105" t="str">
            <v>250 ML</v>
          </cell>
          <cell r="F105">
            <v>152.5</v>
          </cell>
          <cell r="G105">
            <v>18</v>
          </cell>
          <cell r="H105">
            <v>27.45</v>
          </cell>
          <cell r="I105">
            <v>179.95</v>
          </cell>
        </row>
        <row r="106">
          <cell r="B106" t="str">
            <v>Ichiban</v>
          </cell>
          <cell r="C106" t="str">
            <v>Thiamethoxam 30% FS</v>
          </cell>
          <cell r="D106" t="str">
            <v>Sudoku</v>
          </cell>
          <cell r="E106" t="str">
            <v>100 ML</v>
          </cell>
          <cell r="F106">
            <v>67.5</v>
          </cell>
          <cell r="G106">
            <v>18</v>
          </cell>
          <cell r="H106">
            <v>12.15</v>
          </cell>
          <cell r="I106">
            <v>79.650000000000006</v>
          </cell>
        </row>
        <row r="107">
          <cell r="B107" t="str">
            <v>Ichiban</v>
          </cell>
          <cell r="C107" t="str">
            <v>Thiamethoxam 30% FS</v>
          </cell>
          <cell r="D107" t="str">
            <v>Sudoku</v>
          </cell>
          <cell r="E107" t="str">
            <v>50 ML</v>
          </cell>
          <cell r="F107">
            <v>35</v>
          </cell>
          <cell r="G107">
            <v>18</v>
          </cell>
          <cell r="H107">
            <v>6.3</v>
          </cell>
          <cell r="I107">
            <v>41.3</v>
          </cell>
        </row>
        <row r="108">
          <cell r="B108" t="str">
            <v>Ichiban</v>
          </cell>
          <cell r="C108" t="str">
            <v>Betacyfluthrin 8.49% + Imidacloprid 19.81% OD</v>
          </cell>
          <cell r="D108" t="str">
            <v>Submarine od</v>
          </cell>
          <cell r="E108" t="str">
            <v>1000 ML</v>
          </cell>
          <cell r="F108">
            <v>1500</v>
          </cell>
          <cell r="G108">
            <v>18</v>
          </cell>
          <cell r="H108">
            <v>270</v>
          </cell>
          <cell r="I108">
            <v>1770</v>
          </cell>
        </row>
        <row r="109">
          <cell r="B109" t="str">
            <v>Ichiban</v>
          </cell>
          <cell r="C109" t="str">
            <v>Betacyfluthrin 8.49% + Imidacloprid 19.81% OD</v>
          </cell>
          <cell r="D109" t="str">
            <v>Submarine od</v>
          </cell>
          <cell r="E109" t="str">
            <v>500 ML</v>
          </cell>
          <cell r="F109">
            <v>762.5</v>
          </cell>
          <cell r="G109">
            <v>18</v>
          </cell>
          <cell r="H109">
            <v>137.25</v>
          </cell>
          <cell r="I109">
            <v>899.75</v>
          </cell>
        </row>
        <row r="110">
          <cell r="B110" t="str">
            <v>Ichiban</v>
          </cell>
          <cell r="C110" t="str">
            <v>Betacyfluthrin 8.49% + Imidacloprid 19.81% OD</v>
          </cell>
          <cell r="D110" t="str">
            <v>Submarine od</v>
          </cell>
          <cell r="E110" t="str">
            <v>250 ML</v>
          </cell>
          <cell r="F110">
            <v>393.75</v>
          </cell>
          <cell r="G110">
            <v>18</v>
          </cell>
          <cell r="H110">
            <v>70.875</v>
          </cell>
          <cell r="I110">
            <v>464.625</v>
          </cell>
        </row>
        <row r="111">
          <cell r="B111" t="str">
            <v>Ichiban</v>
          </cell>
          <cell r="C111" t="str">
            <v>Betacyfluthrin 8.49% + Imidacloprid 19.81% OD</v>
          </cell>
          <cell r="D111" t="str">
            <v>Submarine od</v>
          </cell>
          <cell r="E111" t="str">
            <v>100 ML</v>
          </cell>
          <cell r="F111">
            <v>165</v>
          </cell>
          <cell r="G111">
            <v>18</v>
          </cell>
          <cell r="H111">
            <v>29.7</v>
          </cell>
          <cell r="I111">
            <v>194.7</v>
          </cell>
        </row>
        <row r="112">
          <cell r="B112" t="str">
            <v>Ichiban</v>
          </cell>
          <cell r="C112" t="str">
            <v>Chlorantraniliprole 5%+ Fipronil 15%  SC</v>
          </cell>
          <cell r="D112" t="str">
            <v>Immandar</v>
          </cell>
          <cell r="E112" t="str">
            <v>500 ML</v>
          </cell>
          <cell r="F112">
            <v>1525</v>
          </cell>
          <cell r="G112">
            <v>18</v>
          </cell>
          <cell r="H112">
            <v>274.5</v>
          </cell>
          <cell r="I112">
            <v>1799.5</v>
          </cell>
        </row>
        <row r="113">
          <cell r="B113" t="str">
            <v>Ichiban</v>
          </cell>
          <cell r="C113" t="str">
            <v>Chlorantraniliprole 5%+ Fipronil 15%  SC</v>
          </cell>
          <cell r="D113" t="str">
            <v>Immandar</v>
          </cell>
          <cell r="E113" t="str">
            <v>250 ML</v>
          </cell>
          <cell r="F113">
            <v>775</v>
          </cell>
          <cell r="G113">
            <v>18</v>
          </cell>
          <cell r="H113">
            <v>139.5</v>
          </cell>
          <cell r="I113">
            <v>914.5</v>
          </cell>
        </row>
        <row r="114">
          <cell r="B114" t="str">
            <v>Ichiban</v>
          </cell>
          <cell r="C114" t="str">
            <v>Thiamethoxam 12.6% + Lambda Cyhalothrin 9.5% ZC</v>
          </cell>
          <cell r="D114" t="str">
            <v>Tamasha</v>
          </cell>
          <cell r="E114" t="str">
            <v>1000 ML</v>
          </cell>
          <cell r="F114">
            <v>1050</v>
          </cell>
          <cell r="G114">
            <v>18</v>
          </cell>
          <cell r="H114">
            <v>189</v>
          </cell>
          <cell r="I114">
            <v>1239</v>
          </cell>
        </row>
        <row r="115">
          <cell r="B115" t="str">
            <v>Ichiban</v>
          </cell>
          <cell r="C115" t="str">
            <v>Thiamethoxam 12.6% + Lambda Cyhalothrin 9.5% ZC</v>
          </cell>
          <cell r="D115" t="str">
            <v>Tamasha</v>
          </cell>
          <cell r="E115" t="str">
            <v>500 ML</v>
          </cell>
          <cell r="F115">
            <v>537.5</v>
          </cell>
          <cell r="G115">
            <v>18</v>
          </cell>
          <cell r="H115">
            <v>96.75</v>
          </cell>
          <cell r="I115">
            <v>634.25</v>
          </cell>
        </row>
        <row r="116">
          <cell r="B116" t="str">
            <v>Ichiban</v>
          </cell>
          <cell r="C116" t="str">
            <v>Thiamethoxam 12.6% + Lambda Cyhalothrin 9.5% ZC</v>
          </cell>
          <cell r="D116" t="str">
            <v>Tamasha</v>
          </cell>
          <cell r="E116" t="str">
            <v>200 ML</v>
          </cell>
          <cell r="F116">
            <v>225</v>
          </cell>
          <cell r="G116">
            <v>18</v>
          </cell>
          <cell r="H116">
            <v>40.5</v>
          </cell>
          <cell r="I116">
            <v>265.5</v>
          </cell>
        </row>
        <row r="117">
          <cell r="B117" t="str">
            <v>Ichiban</v>
          </cell>
          <cell r="C117" t="str">
            <v>Thiamethoxam 12.6% + Lambda Cyhalothrin 9.5% ZC</v>
          </cell>
          <cell r="D117" t="str">
            <v>Tamasha</v>
          </cell>
          <cell r="E117" t="str">
            <v>100 ML</v>
          </cell>
          <cell r="F117">
            <v>120</v>
          </cell>
          <cell r="G117">
            <v>18</v>
          </cell>
          <cell r="H117">
            <v>21.599999999999998</v>
          </cell>
          <cell r="I117">
            <v>141.6</v>
          </cell>
        </row>
        <row r="118">
          <cell r="B118" t="str">
            <v>Ichiban</v>
          </cell>
          <cell r="C118" t="str">
            <v>Thiamethoxam 12.6% + Lambda Cyhalothrin 9.5% ZC</v>
          </cell>
          <cell r="D118" t="str">
            <v>Tamasha</v>
          </cell>
          <cell r="E118" t="str">
            <v>50 ML</v>
          </cell>
          <cell r="F118">
            <v>61.25</v>
          </cell>
          <cell r="G118">
            <v>18</v>
          </cell>
          <cell r="H118">
            <v>11.025</v>
          </cell>
          <cell r="I118">
            <v>72.275000000000006</v>
          </cell>
        </row>
        <row r="119">
          <cell r="B119" t="str">
            <v>Ichiban</v>
          </cell>
          <cell r="C119" t="str">
            <v>Thiamethoxam 12.6% + Lambda Cyhalothrin 9.5% ZC</v>
          </cell>
          <cell r="D119" t="str">
            <v>Tamasha</v>
          </cell>
          <cell r="E119" t="str">
            <v>10 ML</v>
          </cell>
          <cell r="F119">
            <v>14.5</v>
          </cell>
          <cell r="G119">
            <v>18</v>
          </cell>
          <cell r="H119">
            <v>2.61</v>
          </cell>
          <cell r="I119">
            <v>17.11</v>
          </cell>
        </row>
        <row r="120">
          <cell r="B120" t="str">
            <v>Ichiban</v>
          </cell>
          <cell r="C120" t="str">
            <v>Bifenthrin 8% + Clothianidin 10% SC</v>
          </cell>
          <cell r="D120" t="str">
            <v>Antriksha gold</v>
          </cell>
          <cell r="E120" t="str">
            <v>1000 ML</v>
          </cell>
          <cell r="F120">
            <v>1425</v>
          </cell>
          <cell r="G120">
            <v>18</v>
          </cell>
          <cell r="H120">
            <v>256.5</v>
          </cell>
          <cell r="I120">
            <v>1681.5</v>
          </cell>
        </row>
        <row r="121">
          <cell r="B121" t="str">
            <v>Ichiban</v>
          </cell>
          <cell r="C121" t="str">
            <v>Bifenthrin 8% + Clothianidin 10% SC</v>
          </cell>
          <cell r="D121" t="str">
            <v>Antriksha gold</v>
          </cell>
          <cell r="E121" t="str">
            <v>500 ML</v>
          </cell>
          <cell r="F121">
            <v>725</v>
          </cell>
          <cell r="G121">
            <v>18</v>
          </cell>
          <cell r="H121">
            <v>130.5</v>
          </cell>
          <cell r="I121">
            <v>855.5</v>
          </cell>
        </row>
        <row r="122">
          <cell r="B122" t="str">
            <v>Ichiban</v>
          </cell>
          <cell r="C122" t="str">
            <v>Bifenthrin 8% + Clothianidin 10% SC</v>
          </cell>
          <cell r="D122" t="str">
            <v>Antriksha gold</v>
          </cell>
          <cell r="E122" t="str">
            <v>250 ML</v>
          </cell>
          <cell r="F122">
            <v>375</v>
          </cell>
          <cell r="G122">
            <v>18</v>
          </cell>
          <cell r="H122">
            <v>67.5</v>
          </cell>
          <cell r="I122">
            <v>442.5</v>
          </cell>
        </row>
        <row r="123">
          <cell r="B123" t="str">
            <v>Ichiban</v>
          </cell>
          <cell r="C123" t="str">
            <v>Fipronil 0.3% GR</v>
          </cell>
          <cell r="D123" t="str">
            <v>Fitoor gr</v>
          </cell>
          <cell r="E123" t="str">
            <v>5000 GMS</v>
          </cell>
          <cell r="F123">
            <v>240</v>
          </cell>
          <cell r="G123">
            <v>18</v>
          </cell>
          <cell r="H123">
            <v>43.199999999999996</v>
          </cell>
          <cell r="I123">
            <v>283.2</v>
          </cell>
        </row>
        <row r="124">
          <cell r="B124" t="str">
            <v>Ichiban</v>
          </cell>
          <cell r="C124" t="str">
            <v>Fipronil 0.3% GR</v>
          </cell>
          <cell r="D124" t="str">
            <v>Fitoor gr</v>
          </cell>
          <cell r="E124" t="str">
            <v>1000 GMS</v>
          </cell>
          <cell r="F124">
            <v>50</v>
          </cell>
          <cell r="G124">
            <v>18</v>
          </cell>
          <cell r="H124">
            <v>9</v>
          </cell>
          <cell r="I124">
            <v>59</v>
          </cell>
        </row>
        <row r="125">
          <cell r="B125" t="str">
            <v>Ichiban</v>
          </cell>
          <cell r="C125" t="str">
            <v>Chlorantraniliprole 0.4% GR</v>
          </cell>
          <cell r="D125" t="str">
            <v>Jaandar gr</v>
          </cell>
          <cell r="E125" t="str">
            <v>4000 GMS</v>
          </cell>
          <cell r="F125">
            <v>308</v>
          </cell>
          <cell r="G125">
            <v>18</v>
          </cell>
          <cell r="H125">
            <v>55.44</v>
          </cell>
          <cell r="I125">
            <v>363.44</v>
          </cell>
        </row>
        <row r="126">
          <cell r="B126" t="str">
            <v>Ichiban</v>
          </cell>
          <cell r="C126" t="str">
            <v>Chlorantraniliprole 0.4% GR</v>
          </cell>
          <cell r="D126" t="str">
            <v>Jaandar gr</v>
          </cell>
          <cell r="E126" t="str">
            <v>1000 GMS</v>
          </cell>
          <cell r="F126">
            <v>82</v>
          </cell>
          <cell r="G126">
            <v>18</v>
          </cell>
          <cell r="H126">
            <v>14.76</v>
          </cell>
          <cell r="I126">
            <v>96.76</v>
          </cell>
        </row>
        <row r="127">
          <cell r="B127" t="str">
            <v>Ichiban</v>
          </cell>
          <cell r="C127" t="str">
            <v>Cartap Hydrochloride 4% GR</v>
          </cell>
          <cell r="D127" t="str">
            <v>Parinda gr</v>
          </cell>
          <cell r="E127" t="str">
            <v>5000 GMS</v>
          </cell>
          <cell r="F127">
            <v>480</v>
          </cell>
          <cell r="G127">
            <v>18</v>
          </cell>
          <cell r="H127">
            <v>86.399999999999991</v>
          </cell>
          <cell r="I127">
            <v>566.4</v>
          </cell>
        </row>
        <row r="128">
          <cell r="B128" t="str">
            <v>Ichiban</v>
          </cell>
          <cell r="C128" t="str">
            <v>Cartap Hydrochloride 4% GR</v>
          </cell>
          <cell r="D128" t="str">
            <v>Parinda gr</v>
          </cell>
          <cell r="E128" t="str">
            <v>1000 GMS</v>
          </cell>
          <cell r="F128">
            <v>98</v>
          </cell>
          <cell r="G128">
            <v>18</v>
          </cell>
          <cell r="H128">
            <v>17.64</v>
          </cell>
          <cell r="I128">
            <v>115.64</v>
          </cell>
        </row>
        <row r="129">
          <cell r="B129" t="str">
            <v>Ichiban</v>
          </cell>
          <cell r="C129" t="str">
            <v>Thiamethoxam 1% + Chlorantraniliprole 0.5% GR</v>
          </cell>
          <cell r="D129" t="str">
            <v>Satellite</v>
          </cell>
          <cell r="E129" t="str">
            <v>5000 GMS</v>
          </cell>
          <cell r="F129">
            <v>975</v>
          </cell>
          <cell r="G129">
            <v>18</v>
          </cell>
          <cell r="H129">
            <v>175.5</v>
          </cell>
          <cell r="I129">
            <v>1150.5</v>
          </cell>
        </row>
        <row r="130">
          <cell r="B130" t="str">
            <v>Ichiban</v>
          </cell>
          <cell r="C130" t="str">
            <v>Thiamethoxam 1% + Chlorantraniliprole 0.5% GR</v>
          </cell>
          <cell r="D130" t="str">
            <v>Satellite</v>
          </cell>
          <cell r="E130" t="str">
            <v>2.5000 GMS</v>
          </cell>
          <cell r="F130">
            <v>500</v>
          </cell>
          <cell r="G130">
            <v>18</v>
          </cell>
          <cell r="H130">
            <v>90</v>
          </cell>
          <cell r="I130">
            <v>590</v>
          </cell>
        </row>
        <row r="131">
          <cell r="B131" t="str">
            <v>Ichiban</v>
          </cell>
          <cell r="C131" t="str">
            <v>Abamectin 1.9% EC</v>
          </cell>
          <cell r="D131" t="str">
            <v>Chandrayaan</v>
          </cell>
          <cell r="E131" t="str">
            <v>250 ML</v>
          </cell>
          <cell r="F131">
            <v>875</v>
          </cell>
          <cell r="G131">
            <v>18</v>
          </cell>
          <cell r="H131">
            <v>157.5</v>
          </cell>
          <cell r="I131">
            <v>1032.5</v>
          </cell>
        </row>
        <row r="132">
          <cell r="B132" t="str">
            <v>Ichiban</v>
          </cell>
          <cell r="C132" t="str">
            <v>Abamectin 1.9% EC</v>
          </cell>
          <cell r="D132" t="str">
            <v>Chandrayaan</v>
          </cell>
          <cell r="E132" t="str">
            <v>100 ML</v>
          </cell>
          <cell r="F132">
            <v>360</v>
          </cell>
          <cell r="G132">
            <v>18</v>
          </cell>
          <cell r="H132">
            <v>64.8</v>
          </cell>
          <cell r="I132">
            <v>424.8</v>
          </cell>
        </row>
        <row r="133">
          <cell r="B133" t="str">
            <v>Ichiban</v>
          </cell>
          <cell r="C133" t="str">
            <v>Abamectin 1.9% EC</v>
          </cell>
          <cell r="D133" t="str">
            <v>Chandrayaan</v>
          </cell>
          <cell r="E133" t="str">
            <v>50 ML</v>
          </cell>
          <cell r="F133">
            <v>185</v>
          </cell>
          <cell r="G133">
            <v>18</v>
          </cell>
          <cell r="H133">
            <v>33.299999999999997</v>
          </cell>
          <cell r="I133">
            <v>218.3</v>
          </cell>
        </row>
        <row r="134">
          <cell r="B134" t="str">
            <v>Ichiban</v>
          </cell>
          <cell r="C134" t="str">
            <v>Spirotetramat 11.01% + Imidacloprid 11.01% SC</v>
          </cell>
          <cell r="D134" t="str">
            <v>Cinema</v>
          </cell>
          <cell r="E134" t="str">
            <v>1000 ML</v>
          </cell>
          <cell r="F134">
            <v>2500</v>
          </cell>
          <cell r="G134">
            <v>18</v>
          </cell>
          <cell r="H134">
            <v>450</v>
          </cell>
          <cell r="I134">
            <v>2950</v>
          </cell>
        </row>
        <row r="135">
          <cell r="B135" t="str">
            <v>Ichiban</v>
          </cell>
          <cell r="C135" t="str">
            <v>Spirotetramat 11.01% + Imidacloprid 11.01% SC</v>
          </cell>
          <cell r="D135" t="str">
            <v>Cinema</v>
          </cell>
          <cell r="E135" t="str">
            <v>500 ML</v>
          </cell>
          <cell r="F135">
            <v>1275</v>
          </cell>
          <cell r="G135">
            <v>18</v>
          </cell>
          <cell r="H135">
            <v>229.5</v>
          </cell>
          <cell r="I135">
            <v>1504.5</v>
          </cell>
        </row>
        <row r="136">
          <cell r="B136" t="str">
            <v>Ichiban</v>
          </cell>
          <cell r="C136" t="str">
            <v>Spirotetramat 11.01% + Imidacloprid 11.01% SC</v>
          </cell>
          <cell r="D136" t="str">
            <v>Cinema</v>
          </cell>
          <cell r="E136" t="str">
            <v>250 ML</v>
          </cell>
          <cell r="F136">
            <v>650</v>
          </cell>
          <cell r="G136">
            <v>18</v>
          </cell>
          <cell r="H136">
            <v>117</v>
          </cell>
          <cell r="I136">
            <v>767</v>
          </cell>
        </row>
        <row r="137">
          <cell r="B137" t="str">
            <v>Ichiban</v>
          </cell>
          <cell r="C137" t="str">
            <v>Spirotetramat 11.01% + Imidacloprid 11.01% SC</v>
          </cell>
          <cell r="D137" t="str">
            <v>Cinema</v>
          </cell>
          <cell r="E137" t="str">
            <v>100 ML</v>
          </cell>
          <cell r="F137">
            <v>270</v>
          </cell>
          <cell r="G137">
            <v>18</v>
          </cell>
          <cell r="H137">
            <v>48.6</v>
          </cell>
          <cell r="I137">
            <v>318.60000000000002</v>
          </cell>
        </row>
        <row r="138">
          <cell r="B138" t="str">
            <v>Ichiban</v>
          </cell>
          <cell r="C138" t="str">
            <v>Fipronil 10% + Diafenthriuron 30% WG</v>
          </cell>
          <cell r="D138" t="str">
            <v>Doklam gold</v>
          </cell>
          <cell r="E138" t="str">
            <v>1000 GMS</v>
          </cell>
          <cell r="F138">
            <v>2600</v>
          </cell>
          <cell r="G138">
            <v>18</v>
          </cell>
          <cell r="H138">
            <v>468</v>
          </cell>
          <cell r="I138">
            <v>3068</v>
          </cell>
        </row>
        <row r="139">
          <cell r="B139" t="str">
            <v>Ichiban</v>
          </cell>
          <cell r="C139" t="str">
            <v>Fipronil 10% + Diafenthriuron 30% WG</v>
          </cell>
          <cell r="D139" t="str">
            <v>Doklam gold</v>
          </cell>
          <cell r="E139" t="str">
            <v>500 GMS</v>
          </cell>
          <cell r="F139">
            <v>1325</v>
          </cell>
          <cell r="G139">
            <v>18</v>
          </cell>
          <cell r="H139">
            <v>238.5</v>
          </cell>
          <cell r="I139">
            <v>1563.5</v>
          </cell>
        </row>
        <row r="140">
          <cell r="B140" t="str">
            <v>Ichiban</v>
          </cell>
          <cell r="C140" t="str">
            <v>Fipronil 10% + Diafenthriuron 30% WG</v>
          </cell>
          <cell r="D140" t="str">
            <v>Doklam gold</v>
          </cell>
          <cell r="E140" t="str">
            <v>250 GMS</v>
          </cell>
          <cell r="F140">
            <v>675</v>
          </cell>
          <cell r="G140">
            <v>18</v>
          </cell>
          <cell r="H140">
            <v>121.5</v>
          </cell>
          <cell r="I140">
            <v>796.5</v>
          </cell>
        </row>
        <row r="141">
          <cell r="B141" t="str">
            <v>Ichiban</v>
          </cell>
          <cell r="C141" t="str">
            <v>Fipronil 10% + Diafenthriuron 30% WG</v>
          </cell>
          <cell r="D141" t="str">
            <v>Doklam gold</v>
          </cell>
          <cell r="E141" t="str">
            <v>100 GMS</v>
          </cell>
          <cell r="F141">
            <v>0</v>
          </cell>
          <cell r="G141">
            <v>18</v>
          </cell>
          <cell r="H141">
            <v>0</v>
          </cell>
          <cell r="I141">
            <v>0</v>
          </cell>
        </row>
        <row r="142">
          <cell r="B142" t="str">
            <v>Ichiban</v>
          </cell>
          <cell r="C142" t="str">
            <v>Hexythiazox 3.5% + Diafenthiuron 42% WDG</v>
          </cell>
          <cell r="D142" t="str">
            <v>Guarantee super</v>
          </cell>
          <cell r="E142" t="str">
            <v>1000 GMS</v>
          </cell>
          <cell r="F142">
            <v>2100</v>
          </cell>
          <cell r="G142">
            <v>18</v>
          </cell>
          <cell r="H142">
            <v>378</v>
          </cell>
          <cell r="I142">
            <v>2478</v>
          </cell>
        </row>
        <row r="143">
          <cell r="B143" t="str">
            <v>Ichiban</v>
          </cell>
          <cell r="C143" t="str">
            <v>Hexythiazox 3.5% + Diafenthiuron 42% WDG</v>
          </cell>
          <cell r="D143" t="str">
            <v>Guarantee super</v>
          </cell>
          <cell r="E143" t="str">
            <v>500 GMS</v>
          </cell>
          <cell r="F143">
            <v>1075</v>
          </cell>
          <cell r="G143">
            <v>18</v>
          </cell>
          <cell r="H143">
            <v>193.5</v>
          </cell>
          <cell r="I143">
            <v>1268.5</v>
          </cell>
        </row>
        <row r="144">
          <cell r="B144" t="str">
            <v>Ichiban</v>
          </cell>
          <cell r="C144" t="str">
            <v>Hexythiazox 3.5% + Diafenthiuron 42% WDG</v>
          </cell>
          <cell r="D144" t="str">
            <v>Guarantee super</v>
          </cell>
          <cell r="E144" t="str">
            <v>250 GMS</v>
          </cell>
          <cell r="F144">
            <v>550</v>
          </cell>
          <cell r="G144">
            <v>18</v>
          </cell>
          <cell r="H144">
            <v>99</v>
          </cell>
          <cell r="I144">
            <v>649</v>
          </cell>
        </row>
        <row r="145">
          <cell r="B145" t="str">
            <v>Ichiban</v>
          </cell>
          <cell r="C145" t="str">
            <v>Propargite 57% EC</v>
          </cell>
          <cell r="D145" t="str">
            <v>Ichimite</v>
          </cell>
          <cell r="E145" t="str">
            <v>1000 ML</v>
          </cell>
          <cell r="F145">
            <v>870</v>
          </cell>
          <cell r="G145">
            <v>18</v>
          </cell>
          <cell r="H145">
            <v>156.6</v>
          </cell>
          <cell r="I145">
            <v>1026.5999999999999</v>
          </cell>
        </row>
        <row r="146">
          <cell r="B146" t="str">
            <v>Ichiban</v>
          </cell>
          <cell r="C146" t="str">
            <v>Propargite 57% EC</v>
          </cell>
          <cell r="D146" t="str">
            <v>Ichimite</v>
          </cell>
          <cell r="E146" t="str">
            <v>500 ML</v>
          </cell>
          <cell r="F146">
            <v>445</v>
          </cell>
          <cell r="G146">
            <v>18</v>
          </cell>
          <cell r="H146">
            <v>80.099999999999994</v>
          </cell>
          <cell r="I146">
            <v>525.1</v>
          </cell>
        </row>
        <row r="147">
          <cell r="B147" t="str">
            <v>Ichiban</v>
          </cell>
          <cell r="C147" t="str">
            <v>Propargite 57% EC</v>
          </cell>
          <cell r="D147" t="str">
            <v>Ichimite</v>
          </cell>
          <cell r="E147" t="str">
            <v>250 ML</v>
          </cell>
          <cell r="F147">
            <v>232.5</v>
          </cell>
          <cell r="G147">
            <v>18</v>
          </cell>
          <cell r="H147">
            <v>41.85</v>
          </cell>
          <cell r="I147">
            <v>274.35000000000002</v>
          </cell>
        </row>
        <row r="148">
          <cell r="B148" t="str">
            <v>Ichiban</v>
          </cell>
          <cell r="C148" t="str">
            <v>Propargite 57% EC</v>
          </cell>
          <cell r="D148" t="str">
            <v>Ichimite</v>
          </cell>
          <cell r="E148" t="str">
            <v>100 ML</v>
          </cell>
          <cell r="F148">
            <v>99.5</v>
          </cell>
          <cell r="G148">
            <v>18</v>
          </cell>
          <cell r="H148">
            <v>17.91</v>
          </cell>
          <cell r="I148">
            <v>117.41</v>
          </cell>
        </row>
        <row r="149">
          <cell r="B149" t="str">
            <v>Ichiban</v>
          </cell>
          <cell r="C149" t="str">
            <v>Tolfenpyrad 15% EC</v>
          </cell>
          <cell r="D149" t="str">
            <v>Library</v>
          </cell>
          <cell r="E149" t="str">
            <v>1000 ML</v>
          </cell>
          <cell r="F149">
            <v>1250</v>
          </cell>
          <cell r="G149">
            <v>18</v>
          </cell>
          <cell r="H149">
            <v>225</v>
          </cell>
          <cell r="I149">
            <v>1475</v>
          </cell>
        </row>
        <row r="150">
          <cell r="B150" t="str">
            <v>Ichiban</v>
          </cell>
          <cell r="C150" t="str">
            <v>Tolfenpyrad 15% EC</v>
          </cell>
          <cell r="D150" t="str">
            <v>Library</v>
          </cell>
          <cell r="E150" t="str">
            <v>500 ML</v>
          </cell>
          <cell r="F150">
            <v>637.5</v>
          </cell>
          <cell r="G150">
            <v>18</v>
          </cell>
          <cell r="H150">
            <v>114.75</v>
          </cell>
          <cell r="I150">
            <v>752.25</v>
          </cell>
        </row>
        <row r="151">
          <cell r="B151" t="str">
            <v>Ichiban</v>
          </cell>
          <cell r="C151" t="str">
            <v>Tolfenpyrad 15% EC</v>
          </cell>
          <cell r="D151" t="str">
            <v>Library</v>
          </cell>
          <cell r="E151" t="str">
            <v>250 ML</v>
          </cell>
          <cell r="F151">
            <v>331.25</v>
          </cell>
          <cell r="G151">
            <v>18</v>
          </cell>
          <cell r="H151">
            <v>59.625</v>
          </cell>
          <cell r="I151">
            <v>390.875</v>
          </cell>
        </row>
        <row r="152">
          <cell r="B152" t="str">
            <v>Ichiban</v>
          </cell>
          <cell r="C152" t="str">
            <v>Tolfenpyrad 15% EC</v>
          </cell>
          <cell r="D152" t="str">
            <v>Library</v>
          </cell>
          <cell r="E152" t="str">
            <v>100 ML</v>
          </cell>
          <cell r="F152">
            <v>140</v>
          </cell>
          <cell r="G152">
            <v>18</v>
          </cell>
          <cell r="H152">
            <v>25.2</v>
          </cell>
          <cell r="I152">
            <v>165.2</v>
          </cell>
        </row>
        <row r="153">
          <cell r="B153" t="str">
            <v>Ichiban</v>
          </cell>
          <cell r="C153" t="str">
            <v>Spiromesifen 22.9% SC</v>
          </cell>
          <cell r="D153" t="str">
            <v>Scientist</v>
          </cell>
          <cell r="E153" t="str">
            <v>1000 ML</v>
          </cell>
          <cell r="F153">
            <v>2600</v>
          </cell>
          <cell r="G153">
            <v>18</v>
          </cell>
          <cell r="H153">
            <v>468</v>
          </cell>
          <cell r="I153">
            <v>3068</v>
          </cell>
        </row>
        <row r="154">
          <cell r="B154" t="str">
            <v>Ichiban</v>
          </cell>
          <cell r="C154" t="str">
            <v>Spiromesifen 22.9% SC</v>
          </cell>
          <cell r="D154" t="str">
            <v>Scientist</v>
          </cell>
          <cell r="E154" t="str">
            <v>500 ML</v>
          </cell>
          <cell r="F154">
            <v>1325</v>
          </cell>
          <cell r="G154">
            <v>18</v>
          </cell>
          <cell r="H154">
            <v>238.5</v>
          </cell>
          <cell r="I154">
            <v>1563.5</v>
          </cell>
        </row>
        <row r="155">
          <cell r="B155" t="str">
            <v>Ichiban</v>
          </cell>
          <cell r="C155" t="str">
            <v>Spiromesifen 22.9% SC</v>
          </cell>
          <cell r="D155" t="str">
            <v>Scientist</v>
          </cell>
          <cell r="E155" t="str">
            <v>200 ML</v>
          </cell>
          <cell r="F155">
            <v>540</v>
          </cell>
          <cell r="G155">
            <v>18</v>
          </cell>
          <cell r="H155">
            <v>97.2</v>
          </cell>
          <cell r="I155">
            <v>637.20000000000005</v>
          </cell>
        </row>
        <row r="156">
          <cell r="B156" t="str">
            <v>Ichiban</v>
          </cell>
          <cell r="C156" t="str">
            <v>Spiromesifen 22.9% SC</v>
          </cell>
          <cell r="D156" t="str">
            <v>Scientist</v>
          </cell>
          <cell r="E156" t="str">
            <v>100 ML</v>
          </cell>
          <cell r="F156">
            <v>280</v>
          </cell>
          <cell r="G156">
            <v>18</v>
          </cell>
          <cell r="H156">
            <v>50.4</v>
          </cell>
          <cell r="I156">
            <v>330.4</v>
          </cell>
        </row>
        <row r="157">
          <cell r="B157" t="str">
            <v>Ichiban</v>
          </cell>
          <cell r="C157" t="str">
            <v>Chlorfenapyr 10% SC</v>
          </cell>
          <cell r="D157" t="str">
            <v>Intersteller</v>
          </cell>
          <cell r="E157" t="str">
            <v>300 ML</v>
          </cell>
          <cell r="F157">
            <v>750</v>
          </cell>
          <cell r="G157">
            <v>18</v>
          </cell>
          <cell r="H157">
            <v>135</v>
          </cell>
          <cell r="I157">
            <v>885</v>
          </cell>
        </row>
        <row r="158">
          <cell r="B158" t="str">
            <v>Ichiban</v>
          </cell>
          <cell r="C158" t="str">
            <v>Diafenthiuron 50% WP</v>
          </cell>
          <cell r="D158" t="str">
            <v>Surety</v>
          </cell>
          <cell r="E158" t="str">
            <v>500 GMS</v>
          </cell>
          <cell r="F158">
            <v>662.5</v>
          </cell>
          <cell r="G158">
            <v>18</v>
          </cell>
          <cell r="H158">
            <v>119.25</v>
          </cell>
          <cell r="I158">
            <v>781.75</v>
          </cell>
        </row>
        <row r="159">
          <cell r="B159" t="str">
            <v>Ichiban</v>
          </cell>
          <cell r="C159" t="str">
            <v>Diafenthiuron 50% WP</v>
          </cell>
          <cell r="D159" t="str">
            <v>Surety</v>
          </cell>
          <cell r="E159" t="str">
            <v>250 GMS</v>
          </cell>
          <cell r="F159">
            <v>340</v>
          </cell>
          <cell r="G159">
            <v>18</v>
          </cell>
          <cell r="H159">
            <v>61.199999999999996</v>
          </cell>
          <cell r="I159">
            <v>401.2</v>
          </cell>
        </row>
        <row r="160">
          <cell r="B160" t="str">
            <v>Ichiban</v>
          </cell>
          <cell r="C160" t="str">
            <v>Diafenthiuron 50% WP</v>
          </cell>
          <cell r="D160" t="str">
            <v>Surety</v>
          </cell>
          <cell r="E160" t="str">
            <v>25 GMS</v>
          </cell>
          <cell r="F160">
            <v>38.130000000000003</v>
          </cell>
          <cell r="G160">
            <v>18</v>
          </cell>
          <cell r="H160">
            <v>6.8634000000000004</v>
          </cell>
          <cell r="I160">
            <v>44.993400000000001</v>
          </cell>
        </row>
        <row r="161">
          <cell r="B161" t="str">
            <v>Ichiban</v>
          </cell>
          <cell r="C161" t="str">
            <v>Pyriproxifen 10% EC</v>
          </cell>
          <cell r="D161" t="str">
            <v>Veerappan</v>
          </cell>
          <cell r="E161" t="str">
            <v>1000 ML</v>
          </cell>
          <cell r="F161">
            <v>550</v>
          </cell>
          <cell r="G161">
            <v>18</v>
          </cell>
          <cell r="H161">
            <v>99</v>
          </cell>
          <cell r="I161">
            <v>649</v>
          </cell>
        </row>
        <row r="162">
          <cell r="B162" t="str">
            <v>Ichiban</v>
          </cell>
          <cell r="C162" t="str">
            <v>Pyriproxifen 10% EC</v>
          </cell>
          <cell r="D162" t="str">
            <v>Veerappan</v>
          </cell>
          <cell r="E162" t="str">
            <v>500 ML</v>
          </cell>
          <cell r="F162">
            <v>285</v>
          </cell>
          <cell r="G162">
            <v>18</v>
          </cell>
          <cell r="H162">
            <v>51.3</v>
          </cell>
          <cell r="I162">
            <v>336.3</v>
          </cell>
        </row>
        <row r="163">
          <cell r="B163" t="str">
            <v>Ichiban</v>
          </cell>
          <cell r="C163" t="str">
            <v>Pyriproxifen 10% EC</v>
          </cell>
          <cell r="D163" t="str">
            <v>Veerappan</v>
          </cell>
          <cell r="E163" t="str">
            <v>250 ML</v>
          </cell>
          <cell r="F163">
            <v>152.5</v>
          </cell>
          <cell r="G163">
            <v>18</v>
          </cell>
          <cell r="H163">
            <v>27.45</v>
          </cell>
          <cell r="I163">
            <v>179.95</v>
          </cell>
        </row>
        <row r="164">
          <cell r="B164" t="str">
            <v>Ichiban</v>
          </cell>
          <cell r="C164" t="str">
            <v>Pyriproxifen 10% EC</v>
          </cell>
          <cell r="D164" t="str">
            <v>Veerappan</v>
          </cell>
          <cell r="E164" t="str">
            <v>100 ML</v>
          </cell>
          <cell r="F164">
            <v>67.5</v>
          </cell>
          <cell r="G164">
            <v>18</v>
          </cell>
          <cell r="H164">
            <v>12.15</v>
          </cell>
          <cell r="I164">
            <v>79.650000000000006</v>
          </cell>
        </row>
        <row r="165">
          <cell r="B165" t="str">
            <v>Ichiban</v>
          </cell>
          <cell r="C165" t="str">
            <v>Pyriproxifen 10% EC</v>
          </cell>
          <cell r="D165" t="str">
            <v>Veerappan</v>
          </cell>
          <cell r="E165" t="str">
            <v>50 ML</v>
          </cell>
          <cell r="F165">
            <v>35</v>
          </cell>
          <cell r="G165">
            <v>18</v>
          </cell>
          <cell r="H165">
            <v>6.3</v>
          </cell>
          <cell r="I165">
            <v>41.3</v>
          </cell>
        </row>
        <row r="166">
          <cell r="B166" t="str">
            <v>Ichiban</v>
          </cell>
          <cell r="C166" t="str">
            <v>Azadirachtin 1% Min</v>
          </cell>
          <cell r="D166" t="str">
            <v>Zonata super</v>
          </cell>
          <cell r="E166" t="str">
            <v>1000 ML</v>
          </cell>
          <cell r="F166">
            <v>1600</v>
          </cell>
          <cell r="G166">
            <v>18</v>
          </cell>
          <cell r="H166">
            <v>288</v>
          </cell>
          <cell r="I166">
            <v>1888</v>
          </cell>
        </row>
        <row r="167">
          <cell r="B167" t="str">
            <v>Ichiban</v>
          </cell>
          <cell r="C167" t="str">
            <v>Azadirachtin 1% Min</v>
          </cell>
          <cell r="D167" t="str">
            <v>Zonata super</v>
          </cell>
          <cell r="E167" t="str">
            <v>500 ML</v>
          </cell>
          <cell r="F167">
            <v>812.5</v>
          </cell>
          <cell r="G167">
            <v>18</v>
          </cell>
          <cell r="H167">
            <v>146.25</v>
          </cell>
          <cell r="I167">
            <v>958.75</v>
          </cell>
        </row>
        <row r="168">
          <cell r="B168" t="str">
            <v>Ichiban</v>
          </cell>
          <cell r="C168" t="str">
            <v>Azadirachtin 1% Min</v>
          </cell>
          <cell r="D168" t="str">
            <v>Zonata super</v>
          </cell>
          <cell r="E168" t="str">
            <v>250 ML</v>
          </cell>
          <cell r="F168">
            <v>418.75</v>
          </cell>
          <cell r="G168">
            <v>18</v>
          </cell>
          <cell r="H168">
            <v>75.375</v>
          </cell>
          <cell r="I168">
            <v>494.125</v>
          </cell>
        </row>
        <row r="169">
          <cell r="B169" t="str">
            <v>Ichiban</v>
          </cell>
          <cell r="C169" t="str">
            <v>Azadirachtin 1% Min</v>
          </cell>
          <cell r="D169" t="str">
            <v>Zonata super</v>
          </cell>
          <cell r="E169" t="str">
            <v>100 ML</v>
          </cell>
          <cell r="F169">
            <v>175</v>
          </cell>
          <cell r="G169">
            <v>18</v>
          </cell>
          <cell r="H169">
            <v>31.5</v>
          </cell>
          <cell r="I169">
            <v>206.5</v>
          </cell>
        </row>
        <row r="170">
          <cell r="B170" t="str">
            <v>Ichiban</v>
          </cell>
          <cell r="C170" t="str">
            <v>Hexythiazox 5.45% EC</v>
          </cell>
          <cell r="D170" t="str">
            <v>Ichimite 2.0</v>
          </cell>
          <cell r="E170" t="str">
            <v>1000 ML</v>
          </cell>
          <cell r="F170">
            <v>1200</v>
          </cell>
          <cell r="G170">
            <v>18</v>
          </cell>
          <cell r="H170">
            <v>216</v>
          </cell>
          <cell r="I170">
            <v>1416</v>
          </cell>
        </row>
        <row r="171">
          <cell r="B171" t="str">
            <v>Ichiban</v>
          </cell>
          <cell r="C171" t="str">
            <v>Hexythiazox 5.45% EC</v>
          </cell>
          <cell r="D171" t="str">
            <v>Ichimite 2.0</v>
          </cell>
          <cell r="E171" t="str">
            <v>500 ML</v>
          </cell>
          <cell r="F171">
            <v>612.5</v>
          </cell>
          <cell r="G171">
            <v>18</v>
          </cell>
          <cell r="H171">
            <v>110.25</v>
          </cell>
          <cell r="I171">
            <v>722.75</v>
          </cell>
        </row>
        <row r="172">
          <cell r="B172" t="str">
            <v>Ichiban</v>
          </cell>
          <cell r="C172" t="str">
            <v>Hexythiazox 5.45% EC</v>
          </cell>
          <cell r="D172" t="str">
            <v>Ichimite 2.0</v>
          </cell>
          <cell r="E172" t="str">
            <v>250 ML</v>
          </cell>
          <cell r="F172">
            <v>318.75</v>
          </cell>
          <cell r="G172">
            <v>18</v>
          </cell>
          <cell r="H172">
            <v>57.375</v>
          </cell>
          <cell r="I172">
            <v>376.125</v>
          </cell>
        </row>
        <row r="173">
          <cell r="B173" t="str">
            <v>Ichiban</v>
          </cell>
          <cell r="C173" t="str">
            <v>Hexythiazox 5.45% EC</v>
          </cell>
          <cell r="D173" t="str">
            <v>Ichimite 2.0</v>
          </cell>
          <cell r="E173" t="str">
            <v>100 ML</v>
          </cell>
          <cell r="F173">
            <v>135</v>
          </cell>
          <cell r="G173">
            <v>18</v>
          </cell>
          <cell r="H173">
            <v>24.3</v>
          </cell>
          <cell r="I173">
            <v>159.30000000000001</v>
          </cell>
        </row>
        <row r="174">
          <cell r="B174" t="str">
            <v>Ichiban</v>
          </cell>
          <cell r="C174" t="str">
            <v>Acephate 50% + Imidacloprid 1.8% SP</v>
          </cell>
          <cell r="D174" t="str">
            <v>Aslan gold</v>
          </cell>
          <cell r="E174" t="str">
            <v>1000 GMS</v>
          </cell>
          <cell r="F174">
            <v>590</v>
          </cell>
          <cell r="G174">
            <v>18</v>
          </cell>
          <cell r="H174">
            <v>106.2</v>
          </cell>
          <cell r="I174">
            <v>696.2</v>
          </cell>
        </row>
        <row r="175">
          <cell r="B175" t="str">
            <v>Ichiban</v>
          </cell>
          <cell r="C175" t="str">
            <v>Acephate 50% + Imidacloprid 1.8% SP</v>
          </cell>
          <cell r="D175" t="str">
            <v>Aslan gold</v>
          </cell>
          <cell r="E175" t="str">
            <v>500 GMS</v>
          </cell>
          <cell r="F175">
            <v>302.5</v>
          </cell>
          <cell r="G175">
            <v>18</v>
          </cell>
          <cell r="H175">
            <v>54.449999999999996</v>
          </cell>
          <cell r="I175">
            <v>356.95</v>
          </cell>
        </row>
        <row r="176">
          <cell r="B176" t="str">
            <v>Ichiban</v>
          </cell>
          <cell r="C176" t="str">
            <v>Acephate 50% + Imidacloprid 1.8% SP</v>
          </cell>
          <cell r="D176" t="str">
            <v>Aslan gold</v>
          </cell>
          <cell r="E176" t="str">
            <v>250 GMS</v>
          </cell>
          <cell r="F176">
            <v>160</v>
          </cell>
          <cell r="G176">
            <v>18</v>
          </cell>
          <cell r="H176">
            <v>28.799999999999997</v>
          </cell>
          <cell r="I176">
            <v>188.8</v>
          </cell>
        </row>
        <row r="177">
          <cell r="B177" t="str">
            <v>Ichiban</v>
          </cell>
          <cell r="C177" t="str">
            <v>Acephate 50% + Imidacloprid 1.8% SP</v>
          </cell>
          <cell r="D177" t="str">
            <v>Aslan gold</v>
          </cell>
          <cell r="E177" t="str">
            <v>100 GMS</v>
          </cell>
          <cell r="F177">
            <v>69</v>
          </cell>
          <cell r="G177">
            <v>18</v>
          </cell>
          <cell r="H177">
            <v>12.42</v>
          </cell>
          <cell r="I177">
            <v>81.42</v>
          </cell>
        </row>
        <row r="178">
          <cell r="B178" t="str">
            <v>Ichiban</v>
          </cell>
          <cell r="C178" t="str">
            <v>Bifenthrin 10% EC</v>
          </cell>
          <cell r="D178" t="str">
            <v>Antriksha</v>
          </cell>
          <cell r="E178" t="str">
            <v>1000 ML</v>
          </cell>
          <cell r="F178">
            <v>485</v>
          </cell>
          <cell r="G178">
            <v>18</v>
          </cell>
          <cell r="H178">
            <v>87.3</v>
          </cell>
          <cell r="I178">
            <v>572.29999999999995</v>
          </cell>
        </row>
        <row r="179">
          <cell r="B179" t="str">
            <v>Ichiban</v>
          </cell>
          <cell r="C179" t="str">
            <v>Bifenthrin 10% EC</v>
          </cell>
          <cell r="D179" t="str">
            <v>Antriksha</v>
          </cell>
          <cell r="E179" t="str">
            <v>500 ML</v>
          </cell>
          <cell r="F179">
            <v>250</v>
          </cell>
          <cell r="G179">
            <v>18</v>
          </cell>
          <cell r="H179">
            <v>45</v>
          </cell>
          <cell r="I179">
            <v>295</v>
          </cell>
        </row>
        <row r="180">
          <cell r="B180" t="str">
            <v>Ichiban</v>
          </cell>
          <cell r="C180" t="str">
            <v>Bifenthrin 10% EC</v>
          </cell>
          <cell r="D180" t="str">
            <v>Antriksha</v>
          </cell>
          <cell r="E180" t="str">
            <v>250 ML</v>
          </cell>
          <cell r="F180">
            <v>133.75</v>
          </cell>
          <cell r="G180">
            <v>18</v>
          </cell>
          <cell r="H180">
            <v>24.074999999999999</v>
          </cell>
          <cell r="I180">
            <v>157.82499999999999</v>
          </cell>
        </row>
        <row r="181">
          <cell r="B181" t="str">
            <v>Ichiban</v>
          </cell>
          <cell r="C181" t="str">
            <v>Bifenthrin 10% EC</v>
          </cell>
          <cell r="D181" t="str">
            <v>Antriksha</v>
          </cell>
          <cell r="E181" t="str">
            <v>100 ML</v>
          </cell>
          <cell r="F181">
            <v>58.5</v>
          </cell>
          <cell r="G181">
            <v>18</v>
          </cell>
          <cell r="H181">
            <v>10.53</v>
          </cell>
          <cell r="I181">
            <v>69.03</v>
          </cell>
        </row>
        <row r="182">
          <cell r="B182" t="str">
            <v>Ichiban</v>
          </cell>
          <cell r="C182" t="str">
            <v>Acetamiprid 1.1% + Cypermethrin 5.5% EC</v>
          </cell>
          <cell r="D182" t="str">
            <v>Cyberban</v>
          </cell>
          <cell r="E182" t="str">
            <v>1000 ML</v>
          </cell>
          <cell r="F182">
            <v>300</v>
          </cell>
          <cell r="G182">
            <v>18</v>
          </cell>
          <cell r="H182">
            <v>54</v>
          </cell>
          <cell r="I182">
            <v>354</v>
          </cell>
        </row>
        <row r="183">
          <cell r="B183" t="str">
            <v>Ichiban</v>
          </cell>
          <cell r="C183" t="str">
            <v>Acetamiprid 1.1% + Cypermethrin 5.5% EC</v>
          </cell>
          <cell r="D183" t="str">
            <v>Cyberban</v>
          </cell>
          <cell r="E183" t="str">
            <v>500 ML</v>
          </cell>
          <cell r="F183">
            <v>157.5</v>
          </cell>
          <cell r="G183">
            <v>18</v>
          </cell>
          <cell r="H183">
            <v>28.349999999999998</v>
          </cell>
          <cell r="I183">
            <v>185.85</v>
          </cell>
        </row>
        <row r="184">
          <cell r="B184" t="str">
            <v>Ichiban</v>
          </cell>
          <cell r="C184" t="str">
            <v>Acetamiprid 1.1% + Cypermethrin 5.5% EC</v>
          </cell>
          <cell r="D184" t="str">
            <v>Cyberban</v>
          </cell>
          <cell r="E184" t="str">
            <v>250 ML</v>
          </cell>
          <cell r="F184">
            <v>87.5</v>
          </cell>
          <cell r="G184">
            <v>18</v>
          </cell>
          <cell r="H184">
            <v>15.75</v>
          </cell>
          <cell r="I184">
            <v>103.25</v>
          </cell>
        </row>
        <row r="185">
          <cell r="B185" t="str">
            <v>Ichiban</v>
          </cell>
          <cell r="C185" t="str">
            <v>Acetamiprid 1.1% + Cypermethrin 5.5% EC</v>
          </cell>
          <cell r="D185" t="str">
            <v>Cyberban</v>
          </cell>
          <cell r="E185" t="str">
            <v>100 ML</v>
          </cell>
          <cell r="F185">
            <v>40</v>
          </cell>
          <cell r="G185">
            <v>18</v>
          </cell>
          <cell r="H185">
            <v>7.1999999999999993</v>
          </cell>
          <cell r="I185">
            <v>47.2</v>
          </cell>
        </row>
        <row r="186">
          <cell r="B186" t="str">
            <v>Ichiban</v>
          </cell>
          <cell r="C186" t="str">
            <v>Profenophos 40% + Cypermethrin 4% EC</v>
          </cell>
          <cell r="D186" t="str">
            <v>License 99</v>
          </cell>
          <cell r="E186" t="str">
            <v>1000 ML</v>
          </cell>
          <cell r="F186">
            <v>500</v>
          </cell>
          <cell r="G186">
            <v>18</v>
          </cell>
          <cell r="H186">
            <v>90</v>
          </cell>
          <cell r="I186">
            <v>590</v>
          </cell>
        </row>
        <row r="187">
          <cell r="B187" t="str">
            <v>Ichiban</v>
          </cell>
          <cell r="C187" t="str">
            <v>Profenophos 40% + Cypermethrin 4% EC</v>
          </cell>
          <cell r="D187" t="str">
            <v>License 99</v>
          </cell>
          <cell r="E187" t="str">
            <v>500 ML</v>
          </cell>
          <cell r="F187">
            <v>260</v>
          </cell>
          <cell r="G187">
            <v>18</v>
          </cell>
          <cell r="H187">
            <v>46.8</v>
          </cell>
          <cell r="I187">
            <v>306.8</v>
          </cell>
        </row>
        <row r="188">
          <cell r="B188" t="str">
            <v>Ichiban</v>
          </cell>
          <cell r="C188" t="str">
            <v>Profenophos 40% + Cypermethrin 4% EC</v>
          </cell>
          <cell r="D188" t="str">
            <v>License 99</v>
          </cell>
          <cell r="E188" t="str">
            <v>250 ML</v>
          </cell>
          <cell r="F188">
            <v>140</v>
          </cell>
          <cell r="G188">
            <v>18</v>
          </cell>
          <cell r="H188">
            <v>25.2</v>
          </cell>
          <cell r="I188">
            <v>165.2</v>
          </cell>
        </row>
        <row r="189">
          <cell r="B189" t="str">
            <v>Ichiban</v>
          </cell>
          <cell r="C189" t="str">
            <v>Profenophos 40% + Cypermethrin 4% EC</v>
          </cell>
          <cell r="D189" t="str">
            <v>License 99</v>
          </cell>
          <cell r="E189" t="str">
            <v>100 ML</v>
          </cell>
          <cell r="F189">
            <v>62.5</v>
          </cell>
          <cell r="G189">
            <v>18</v>
          </cell>
          <cell r="H189">
            <v>11.25</v>
          </cell>
          <cell r="I189">
            <v>73.75</v>
          </cell>
        </row>
        <row r="190">
          <cell r="B190" t="str">
            <v>Ichiban</v>
          </cell>
          <cell r="C190" t="str">
            <v>Monocrotophos 36% SL</v>
          </cell>
          <cell r="D190" t="str">
            <v>Nuvacron</v>
          </cell>
          <cell r="E190" t="str">
            <v>5000 ML</v>
          </cell>
          <cell r="F190">
            <v>2375</v>
          </cell>
          <cell r="G190">
            <v>18</v>
          </cell>
          <cell r="H190">
            <v>427.5</v>
          </cell>
          <cell r="I190">
            <v>2802.5</v>
          </cell>
        </row>
        <row r="191">
          <cell r="B191" t="str">
            <v>Ichiban</v>
          </cell>
          <cell r="C191" t="str">
            <v>Monocrotophos 36% SL</v>
          </cell>
          <cell r="D191" t="str">
            <v>Nuvacron</v>
          </cell>
          <cell r="E191" t="str">
            <v>1000 ML</v>
          </cell>
          <cell r="F191">
            <v>480</v>
          </cell>
          <cell r="G191">
            <v>18</v>
          </cell>
          <cell r="H191">
            <v>86.399999999999991</v>
          </cell>
          <cell r="I191">
            <v>566.4</v>
          </cell>
        </row>
        <row r="192">
          <cell r="B192" t="str">
            <v>Ichiban</v>
          </cell>
          <cell r="C192" t="str">
            <v>Monocrotophos 36% SL</v>
          </cell>
          <cell r="D192" t="str">
            <v>Nuvacron</v>
          </cell>
          <cell r="E192" t="str">
            <v>500 ML</v>
          </cell>
          <cell r="F192">
            <v>247.5</v>
          </cell>
          <cell r="G192">
            <v>18</v>
          </cell>
          <cell r="H192">
            <v>44.55</v>
          </cell>
          <cell r="I192">
            <v>292.05</v>
          </cell>
        </row>
        <row r="193">
          <cell r="B193" t="str">
            <v>Ichiban</v>
          </cell>
          <cell r="C193" t="str">
            <v>Monocrotophos 36% SL</v>
          </cell>
          <cell r="D193" t="str">
            <v>Nuvacron</v>
          </cell>
          <cell r="E193" t="str">
            <v>250 ML</v>
          </cell>
          <cell r="F193">
            <v>132.5</v>
          </cell>
          <cell r="G193">
            <v>18</v>
          </cell>
          <cell r="H193">
            <v>23.849999999999998</v>
          </cell>
          <cell r="I193">
            <v>156.35</v>
          </cell>
        </row>
        <row r="194">
          <cell r="B194" t="str">
            <v>Ichiban</v>
          </cell>
          <cell r="C194" t="str">
            <v>Monocrotophos 36% SL</v>
          </cell>
          <cell r="D194" t="str">
            <v>Nuvacron</v>
          </cell>
          <cell r="E194" t="str">
            <v>100 ML</v>
          </cell>
          <cell r="F194">
            <v>58</v>
          </cell>
          <cell r="G194">
            <v>18</v>
          </cell>
          <cell r="H194">
            <v>10.44</v>
          </cell>
          <cell r="I194">
            <v>68.44</v>
          </cell>
        </row>
        <row r="195">
          <cell r="B195" t="str">
            <v>Ichiban</v>
          </cell>
          <cell r="C195" t="str">
            <v>Lambda Cyhalothrin 4.9% CS</v>
          </cell>
          <cell r="D195" t="str">
            <v>Pokemon</v>
          </cell>
          <cell r="E195" t="str">
            <v>1000 ML</v>
          </cell>
          <cell r="F195">
            <v>315</v>
          </cell>
          <cell r="G195">
            <v>18</v>
          </cell>
          <cell r="H195">
            <v>56.699999999999996</v>
          </cell>
          <cell r="I195">
            <v>371.7</v>
          </cell>
        </row>
        <row r="196">
          <cell r="B196" t="str">
            <v>Ichiban</v>
          </cell>
          <cell r="C196" t="str">
            <v>Lambda Cyhalothrin 4.9% CS</v>
          </cell>
          <cell r="D196" t="str">
            <v>Pokemon</v>
          </cell>
          <cell r="E196" t="str">
            <v>500 ML</v>
          </cell>
          <cell r="F196">
            <v>165</v>
          </cell>
          <cell r="G196">
            <v>18</v>
          </cell>
          <cell r="H196">
            <v>29.7</v>
          </cell>
          <cell r="I196">
            <v>194.7</v>
          </cell>
        </row>
        <row r="197">
          <cell r="B197" t="str">
            <v>Ichiban</v>
          </cell>
          <cell r="C197" t="str">
            <v>Lambda Cyhalothrin 4.9% CS</v>
          </cell>
          <cell r="D197" t="str">
            <v>Pokemon</v>
          </cell>
          <cell r="E197" t="str">
            <v>250 ML</v>
          </cell>
          <cell r="F197">
            <v>91.25</v>
          </cell>
          <cell r="G197">
            <v>18</v>
          </cell>
          <cell r="H197">
            <v>16.425000000000001</v>
          </cell>
          <cell r="I197">
            <v>107.675</v>
          </cell>
        </row>
        <row r="198">
          <cell r="B198" t="str">
            <v>Ichiban</v>
          </cell>
          <cell r="C198" t="str">
            <v>Lambda Cyhalothrin 4.9% CS</v>
          </cell>
          <cell r="D198" t="str">
            <v>Pokemon</v>
          </cell>
          <cell r="E198" t="str">
            <v>100 ML</v>
          </cell>
          <cell r="F198">
            <v>41.5</v>
          </cell>
          <cell r="G198">
            <v>18</v>
          </cell>
          <cell r="H198">
            <v>7.47</v>
          </cell>
          <cell r="I198">
            <v>48.97</v>
          </cell>
        </row>
        <row r="199">
          <cell r="B199" t="str">
            <v>Ichiban</v>
          </cell>
          <cell r="C199" t="str">
            <v>Acetamiprid 0.4% + Chlorpyrifos 20% EC</v>
          </cell>
          <cell r="D199" t="str">
            <v>Yogasan</v>
          </cell>
          <cell r="E199" t="str">
            <v>1000 ML</v>
          </cell>
          <cell r="F199">
            <v>300</v>
          </cell>
          <cell r="G199">
            <v>18</v>
          </cell>
          <cell r="H199">
            <v>54</v>
          </cell>
          <cell r="I199">
            <v>354</v>
          </cell>
        </row>
        <row r="200">
          <cell r="B200" t="str">
            <v>Ichiban</v>
          </cell>
          <cell r="C200" t="str">
            <v>Acetamiprid 0.4% + Chlorpyrifos 20% EC</v>
          </cell>
          <cell r="D200" t="str">
            <v>Yogasan</v>
          </cell>
          <cell r="E200" t="str">
            <v>500 ML</v>
          </cell>
          <cell r="F200">
            <v>157.5</v>
          </cell>
          <cell r="G200">
            <v>18</v>
          </cell>
          <cell r="H200">
            <v>28.349999999999998</v>
          </cell>
          <cell r="I200">
            <v>185.85</v>
          </cell>
        </row>
        <row r="201">
          <cell r="B201" t="str">
            <v>Ichiban</v>
          </cell>
          <cell r="C201" t="str">
            <v>Acetamiprid 0.4% + Chlorpyrifos 20% EC</v>
          </cell>
          <cell r="D201" t="str">
            <v>Yogasan</v>
          </cell>
          <cell r="E201" t="str">
            <v>250 ML</v>
          </cell>
          <cell r="F201">
            <v>87.5</v>
          </cell>
          <cell r="G201">
            <v>18</v>
          </cell>
          <cell r="H201">
            <v>15.75</v>
          </cell>
          <cell r="I201">
            <v>103.25</v>
          </cell>
        </row>
        <row r="202">
          <cell r="B202" t="str">
            <v>Ichiban</v>
          </cell>
          <cell r="C202" t="str">
            <v>Acetamiprid 0.4% + Chlorpyrifos 20% EC</v>
          </cell>
          <cell r="D202" t="str">
            <v>Yogasan</v>
          </cell>
          <cell r="E202" t="str">
            <v>100 ML</v>
          </cell>
          <cell r="F202">
            <v>40</v>
          </cell>
          <cell r="G202">
            <v>18</v>
          </cell>
          <cell r="H202">
            <v>7.1999999999999993</v>
          </cell>
          <cell r="I202">
            <v>47.2</v>
          </cell>
        </row>
        <row r="203">
          <cell r="B203" t="str">
            <v>Ichiban</v>
          </cell>
          <cell r="C203" t="str">
            <v>Azoxystrobin 5.1% + Tebuconazole 9.1% + 
Prochloraz 18.2% EC</v>
          </cell>
          <cell r="D203" t="str">
            <v>Shakalaka</v>
          </cell>
          <cell r="E203" t="str">
            <v>1000 ML</v>
          </cell>
          <cell r="F203">
            <v>2100</v>
          </cell>
          <cell r="G203">
            <v>18</v>
          </cell>
          <cell r="H203">
            <v>378</v>
          </cell>
          <cell r="I203">
            <v>2478</v>
          </cell>
        </row>
        <row r="204">
          <cell r="B204" t="str">
            <v>Ichiban</v>
          </cell>
          <cell r="C204" t="str">
            <v>Azoxystrobin 5.1% + Tebuconazole 9.1% + 
Prochloraz 18.2% EC</v>
          </cell>
          <cell r="D204" t="str">
            <v>Shakalaka</v>
          </cell>
          <cell r="E204" t="str">
            <v>500 ML</v>
          </cell>
          <cell r="F204">
            <v>1075</v>
          </cell>
          <cell r="G204">
            <v>18</v>
          </cell>
          <cell r="H204">
            <v>193.5</v>
          </cell>
          <cell r="I204">
            <v>1268.5</v>
          </cell>
        </row>
        <row r="205">
          <cell r="B205" t="str">
            <v>Ichiban</v>
          </cell>
          <cell r="C205" t="str">
            <v>Azoxystrobin 11% EW + Tebuconazole 18.3% SC</v>
          </cell>
          <cell r="D205" t="str">
            <v>Takeshi</v>
          </cell>
          <cell r="E205" t="str">
            <v>1000 ML</v>
          </cell>
          <cell r="F205">
            <v>900</v>
          </cell>
          <cell r="G205">
            <v>18</v>
          </cell>
          <cell r="H205">
            <v>162</v>
          </cell>
          <cell r="I205">
            <v>1062</v>
          </cell>
        </row>
        <row r="206">
          <cell r="B206" t="str">
            <v>Ichiban</v>
          </cell>
          <cell r="C206" t="str">
            <v>Azoxystrobin 11% EW + Tebuconazole 18.3% SC</v>
          </cell>
          <cell r="D206" t="str">
            <v>Takeshi</v>
          </cell>
          <cell r="E206" t="str">
            <v>500 ML</v>
          </cell>
          <cell r="F206">
            <v>460</v>
          </cell>
          <cell r="G206">
            <v>18</v>
          </cell>
          <cell r="H206">
            <v>82.8</v>
          </cell>
          <cell r="I206">
            <v>542.79999999999995</v>
          </cell>
        </row>
        <row r="207">
          <cell r="B207" t="str">
            <v>Ichiban</v>
          </cell>
          <cell r="C207" t="str">
            <v>Azoxystrobin 11% EW + Tebuconazole 18.3% SC</v>
          </cell>
          <cell r="D207" t="str">
            <v>Takeshi</v>
          </cell>
          <cell r="E207" t="str">
            <v>250 ML</v>
          </cell>
          <cell r="F207">
            <v>240</v>
          </cell>
          <cell r="G207">
            <v>18</v>
          </cell>
          <cell r="H207">
            <v>43.199999999999996</v>
          </cell>
          <cell r="I207">
            <v>283.2</v>
          </cell>
        </row>
        <row r="208">
          <cell r="B208" t="str">
            <v>Ichiban</v>
          </cell>
          <cell r="C208" t="str">
            <v>Azoxystrobin 11% EW + Tebuconazole 18.3% SC</v>
          </cell>
          <cell r="D208" t="str">
            <v>Takeshi</v>
          </cell>
          <cell r="E208" t="str">
            <v>100 ML</v>
          </cell>
          <cell r="F208">
            <v>102.5</v>
          </cell>
          <cell r="G208">
            <v>18</v>
          </cell>
          <cell r="H208">
            <v>18.45</v>
          </cell>
          <cell r="I208">
            <v>120.95</v>
          </cell>
        </row>
        <row r="209">
          <cell r="B209" t="str">
            <v>Ichiban</v>
          </cell>
          <cell r="C209" t="str">
            <v>Azoxystrobin 18.2% + Difenconazole 11.4% SC</v>
          </cell>
          <cell r="D209" t="str">
            <v>Takshila</v>
          </cell>
          <cell r="E209" t="str">
            <v>1000 ML</v>
          </cell>
          <cell r="F209">
            <v>1400</v>
          </cell>
          <cell r="G209">
            <v>18</v>
          </cell>
          <cell r="H209">
            <v>252</v>
          </cell>
          <cell r="I209">
            <v>1652</v>
          </cell>
        </row>
        <row r="210">
          <cell r="B210" t="str">
            <v>Ichiban</v>
          </cell>
          <cell r="C210" t="str">
            <v>Azoxystrobin 18.2% + Difenconazole 11.4% SC</v>
          </cell>
          <cell r="D210" t="str">
            <v>Takshila</v>
          </cell>
          <cell r="E210" t="str">
            <v>500 ML</v>
          </cell>
          <cell r="F210">
            <v>712.5</v>
          </cell>
          <cell r="G210">
            <v>18</v>
          </cell>
          <cell r="H210">
            <v>128.25</v>
          </cell>
          <cell r="I210">
            <v>840.75</v>
          </cell>
        </row>
        <row r="211">
          <cell r="B211" t="str">
            <v>Ichiban</v>
          </cell>
          <cell r="C211" t="str">
            <v>Azoxystrobin 18.2% + Difenconazole 11.4% SC</v>
          </cell>
          <cell r="D211" t="str">
            <v>Takshila</v>
          </cell>
          <cell r="E211" t="str">
            <v>200 ML</v>
          </cell>
          <cell r="F211">
            <v>295</v>
          </cell>
          <cell r="G211">
            <v>18</v>
          </cell>
          <cell r="H211">
            <v>53.1</v>
          </cell>
          <cell r="I211">
            <v>348.1</v>
          </cell>
        </row>
        <row r="212">
          <cell r="B212" t="str">
            <v>Ichiban</v>
          </cell>
          <cell r="C212" t="str">
            <v>Azoxystrobin 18.2% + Difenconazole 11.4% SC</v>
          </cell>
          <cell r="D212" t="str">
            <v>Takshila</v>
          </cell>
          <cell r="E212" t="str">
            <v>100 ML</v>
          </cell>
          <cell r="F212">
            <v>155</v>
          </cell>
          <cell r="G212">
            <v>18</v>
          </cell>
          <cell r="H212">
            <v>27.9</v>
          </cell>
          <cell r="I212">
            <v>182.9</v>
          </cell>
        </row>
        <row r="213">
          <cell r="B213" t="str">
            <v>Ichiban</v>
          </cell>
          <cell r="C213" t="str">
            <v>Azoxystrobin 18.2% + Difenconazole 11.4% SC</v>
          </cell>
          <cell r="D213" t="str">
            <v>Takshila</v>
          </cell>
          <cell r="E213" t="str">
            <v>25 ML</v>
          </cell>
          <cell r="F213">
            <v>47.5</v>
          </cell>
          <cell r="G213">
            <v>18</v>
          </cell>
          <cell r="H213">
            <v>8.5499999999999989</v>
          </cell>
          <cell r="I213">
            <v>56.05</v>
          </cell>
        </row>
        <row r="214">
          <cell r="B214" t="str">
            <v>Ichiban</v>
          </cell>
          <cell r="C214" t="str">
            <v>Azoxystrobin 4.8% + Chlorothalonil 40% SC</v>
          </cell>
          <cell r="D214" t="str">
            <v>Mechanic</v>
          </cell>
          <cell r="E214" t="str">
            <v>600 ML</v>
          </cell>
          <cell r="F214">
            <v>750</v>
          </cell>
          <cell r="G214">
            <v>18</v>
          </cell>
          <cell r="H214">
            <v>135</v>
          </cell>
          <cell r="I214">
            <v>885</v>
          </cell>
        </row>
        <row r="215">
          <cell r="B215" t="str">
            <v>Ichiban</v>
          </cell>
          <cell r="C215" t="str">
            <v>Azoxystrobin 4.8% + Chlorothalonil 40% SC</v>
          </cell>
          <cell r="D215" t="str">
            <v>Mechanic</v>
          </cell>
          <cell r="E215" t="str">
            <v>300 ML</v>
          </cell>
          <cell r="F215">
            <v>382.5</v>
          </cell>
          <cell r="G215">
            <v>18</v>
          </cell>
          <cell r="H215">
            <v>68.849999999999994</v>
          </cell>
          <cell r="I215">
            <v>451.35</v>
          </cell>
        </row>
        <row r="216">
          <cell r="B216" t="str">
            <v>Ichiban</v>
          </cell>
          <cell r="C216" t="str">
            <v>Azoxystrobin 4.8% + Chlorothalonil 40% SC</v>
          </cell>
          <cell r="D216" t="str">
            <v>Mechanic</v>
          </cell>
          <cell r="E216" t="str">
            <v>150 ML</v>
          </cell>
          <cell r="F216">
            <v>198.75</v>
          </cell>
          <cell r="G216">
            <v>18</v>
          </cell>
          <cell r="H216">
            <v>35.774999999999999</v>
          </cell>
          <cell r="I216">
            <v>234.52500000000001</v>
          </cell>
        </row>
        <row r="217">
          <cell r="B217" t="str">
            <v>Ichiban</v>
          </cell>
          <cell r="C217" t="str">
            <v>Kresoxim-Methyl 40 %+ Hexaconazole 8% WG</v>
          </cell>
          <cell r="D217" t="str">
            <v>Bruce lee power</v>
          </cell>
          <cell r="E217" t="str">
            <v>1000 GMS</v>
          </cell>
          <cell r="F217">
            <v>3400</v>
          </cell>
          <cell r="G217">
            <v>18</v>
          </cell>
          <cell r="H217">
            <v>612</v>
          </cell>
          <cell r="I217">
            <v>4012</v>
          </cell>
        </row>
        <row r="218">
          <cell r="B218" t="str">
            <v>Ichiban</v>
          </cell>
          <cell r="C218" t="str">
            <v>Kresoxim-Methyl 40 %+ Hexaconazole 8% WG</v>
          </cell>
          <cell r="D218" t="str">
            <v>Bruce lee power</v>
          </cell>
          <cell r="E218" t="str">
            <v>500 GMS</v>
          </cell>
          <cell r="F218">
            <v>1725</v>
          </cell>
          <cell r="G218">
            <v>18</v>
          </cell>
          <cell r="H218">
            <v>310.5</v>
          </cell>
          <cell r="I218">
            <v>2035.5</v>
          </cell>
        </row>
        <row r="219">
          <cell r="B219" t="str">
            <v>Ichiban</v>
          </cell>
          <cell r="C219" t="str">
            <v>Kresoxim-Methyl 40 %+ Hexaconazole 8% WG</v>
          </cell>
          <cell r="D219" t="str">
            <v>Bruce lee power</v>
          </cell>
          <cell r="E219" t="str">
            <v>250 GMS</v>
          </cell>
          <cell r="F219">
            <v>875</v>
          </cell>
          <cell r="G219">
            <v>18</v>
          </cell>
          <cell r="H219">
            <v>157.5</v>
          </cell>
          <cell r="I219">
            <v>1032.5</v>
          </cell>
        </row>
        <row r="220">
          <cell r="B220" t="str">
            <v>Ichiban</v>
          </cell>
          <cell r="C220" t="str">
            <v>Kresoxim-Methyl 40 %+ Hexaconazole 8% WG</v>
          </cell>
          <cell r="D220" t="str">
            <v>Bruce lee power</v>
          </cell>
          <cell r="E220" t="str">
            <v>100 GMS</v>
          </cell>
          <cell r="F220">
            <v>360</v>
          </cell>
          <cell r="G220">
            <v>18</v>
          </cell>
          <cell r="H220">
            <v>64.8</v>
          </cell>
          <cell r="I220">
            <v>424.8</v>
          </cell>
        </row>
        <row r="221">
          <cell r="B221" t="str">
            <v>Ichiban</v>
          </cell>
          <cell r="C221" t="str">
            <v>Kresoxim-Methyl 44.3% W/W (500 G/L) SC</v>
          </cell>
          <cell r="D221" t="str">
            <v>Bruce lee advance</v>
          </cell>
          <cell r="E221" t="str">
            <v>1000 ML</v>
          </cell>
          <cell r="F221">
            <v>3300</v>
          </cell>
          <cell r="G221">
            <v>18</v>
          </cell>
          <cell r="H221">
            <v>594</v>
          </cell>
          <cell r="I221">
            <v>3894</v>
          </cell>
        </row>
        <row r="222">
          <cell r="B222" t="str">
            <v>Ichiban</v>
          </cell>
          <cell r="C222" t="str">
            <v>Kresoxim-Methyl 44.3% W/W (500 G/L) SC</v>
          </cell>
          <cell r="D222" t="str">
            <v>Bruce lee advance</v>
          </cell>
          <cell r="E222" t="str">
            <v>500 ML</v>
          </cell>
          <cell r="F222">
            <v>1675</v>
          </cell>
          <cell r="G222">
            <v>18</v>
          </cell>
          <cell r="H222">
            <v>301.5</v>
          </cell>
          <cell r="I222">
            <v>1976.5</v>
          </cell>
        </row>
        <row r="223">
          <cell r="B223" t="str">
            <v>Ichiban</v>
          </cell>
          <cell r="C223" t="str">
            <v>Kresoxim-Methyl 44.3% W/W (500 G/L) SC</v>
          </cell>
          <cell r="D223" t="str">
            <v>Bruce lee advance</v>
          </cell>
          <cell r="E223" t="str">
            <v>250 ML</v>
          </cell>
          <cell r="F223">
            <v>850</v>
          </cell>
          <cell r="G223">
            <v>18</v>
          </cell>
          <cell r="H223">
            <v>153</v>
          </cell>
          <cell r="I223">
            <v>1003</v>
          </cell>
        </row>
        <row r="224">
          <cell r="B224" t="str">
            <v>Ichiban</v>
          </cell>
          <cell r="C224" t="str">
            <v>Kresoxim-Methyl 44.3% W/W (500 G/L) SC</v>
          </cell>
          <cell r="D224" t="str">
            <v>Bruce lee advance</v>
          </cell>
          <cell r="E224" t="str">
            <v>100 ML</v>
          </cell>
          <cell r="F224">
            <v>350</v>
          </cell>
          <cell r="G224">
            <v>18</v>
          </cell>
          <cell r="H224">
            <v>63</v>
          </cell>
          <cell r="I224">
            <v>413</v>
          </cell>
        </row>
        <row r="225">
          <cell r="B225" t="str">
            <v>Ichiban</v>
          </cell>
          <cell r="C225" t="str">
            <v>Metiram 55% + Pyraclostrobin 5% WG</v>
          </cell>
          <cell r="D225" t="str">
            <v>Chowkidar top</v>
          </cell>
          <cell r="E225" t="str">
            <v>600 GMS</v>
          </cell>
          <cell r="F225">
            <v>990</v>
          </cell>
          <cell r="G225">
            <v>18</v>
          </cell>
          <cell r="H225">
            <v>178.2</v>
          </cell>
          <cell r="I225">
            <v>1168.2</v>
          </cell>
        </row>
        <row r="226">
          <cell r="B226" t="str">
            <v>Ichiban</v>
          </cell>
          <cell r="C226" t="str">
            <v>Metiram 55% + Pyraclostrobin 5% WG</v>
          </cell>
          <cell r="D226" t="str">
            <v>Chowkidar top</v>
          </cell>
          <cell r="E226" t="str">
            <v>300 GMS</v>
          </cell>
          <cell r="F226">
            <v>505.5</v>
          </cell>
          <cell r="G226">
            <v>18</v>
          </cell>
          <cell r="H226">
            <v>90.99</v>
          </cell>
          <cell r="I226">
            <v>596.49</v>
          </cell>
        </row>
        <row r="227">
          <cell r="B227" t="str">
            <v>Ichiban</v>
          </cell>
          <cell r="C227" t="str">
            <v>Metiram 55% + Pyraclostrobin 5% WG</v>
          </cell>
          <cell r="D227" t="str">
            <v>Chowkidar top</v>
          </cell>
          <cell r="E227" t="str">
            <v>3000 GMS</v>
          </cell>
          <cell r="F227">
            <v>4800</v>
          </cell>
          <cell r="G227">
            <v>18</v>
          </cell>
          <cell r="H227">
            <v>864</v>
          </cell>
          <cell r="I227">
            <v>5664</v>
          </cell>
        </row>
        <row r="228">
          <cell r="B228" t="str">
            <v>Ichiban</v>
          </cell>
          <cell r="C228" t="str">
            <v>Picoxystrobin 22.52%</v>
          </cell>
          <cell r="D228" t="str">
            <v>Patronage</v>
          </cell>
          <cell r="E228" t="str">
            <v>1000 ML</v>
          </cell>
          <cell r="F228">
            <v>2800</v>
          </cell>
          <cell r="G228">
            <v>18</v>
          </cell>
          <cell r="H228">
            <v>504</v>
          </cell>
          <cell r="I228">
            <v>3304</v>
          </cell>
        </row>
        <row r="229">
          <cell r="B229" t="str">
            <v>Ichiban</v>
          </cell>
          <cell r="C229" t="str">
            <v>Picoxystrobin 22.52%</v>
          </cell>
          <cell r="D229" t="str">
            <v>Patronage</v>
          </cell>
          <cell r="E229" t="str">
            <v>400 ML</v>
          </cell>
          <cell r="F229">
            <v>1140</v>
          </cell>
          <cell r="G229">
            <v>18</v>
          </cell>
          <cell r="H229">
            <v>205.2</v>
          </cell>
          <cell r="I229">
            <v>1345.2</v>
          </cell>
        </row>
        <row r="230">
          <cell r="B230" t="str">
            <v>Ichiban</v>
          </cell>
          <cell r="C230" t="str">
            <v>Picoxystrobin 22.52%</v>
          </cell>
          <cell r="D230" t="str">
            <v>Patronage</v>
          </cell>
          <cell r="E230" t="str">
            <v>240 ML</v>
          </cell>
          <cell r="F230">
            <v>696</v>
          </cell>
          <cell r="G230">
            <v>18</v>
          </cell>
          <cell r="H230">
            <v>125.28</v>
          </cell>
          <cell r="I230">
            <v>821.28</v>
          </cell>
        </row>
        <row r="231">
          <cell r="B231" t="str">
            <v>Ichiban</v>
          </cell>
          <cell r="C231" t="str">
            <v>Picoxystrobin 22.52%</v>
          </cell>
          <cell r="D231" t="str">
            <v>Patronage</v>
          </cell>
          <cell r="E231" t="str">
            <v>160 ML</v>
          </cell>
          <cell r="F231">
            <v>480</v>
          </cell>
          <cell r="G231">
            <v>18</v>
          </cell>
          <cell r="H231">
            <v>86.399999999999991</v>
          </cell>
          <cell r="I231">
            <v>566.4</v>
          </cell>
        </row>
        <row r="232">
          <cell r="B232" t="str">
            <v>Ichiban</v>
          </cell>
          <cell r="C232" t="str">
            <v>Picoxystrobin 7.05% + Propiconazole 11.71% SC</v>
          </cell>
          <cell r="D232" t="str">
            <v>Patronage pro</v>
          </cell>
          <cell r="E232" t="str">
            <v>1000 ML</v>
          </cell>
          <cell r="F232">
            <v>1450</v>
          </cell>
          <cell r="G232">
            <v>18</v>
          </cell>
          <cell r="H232">
            <v>261</v>
          </cell>
          <cell r="I232">
            <v>1711</v>
          </cell>
        </row>
        <row r="233">
          <cell r="B233" t="str">
            <v>Ichiban</v>
          </cell>
          <cell r="C233" t="str">
            <v>Picoxystrobin 7.05% + Propiconazole 11.71% SC</v>
          </cell>
          <cell r="D233" t="str">
            <v>Patronage pro</v>
          </cell>
          <cell r="E233" t="str">
            <v>400 ML</v>
          </cell>
          <cell r="F233">
            <v>590</v>
          </cell>
          <cell r="G233">
            <v>18</v>
          </cell>
          <cell r="H233">
            <v>106.2</v>
          </cell>
          <cell r="I233">
            <v>696.2</v>
          </cell>
        </row>
        <row r="234">
          <cell r="B234" t="str">
            <v>Ichiban</v>
          </cell>
          <cell r="C234" t="str">
            <v>Picoxystrobin 7.05% + Propiconazole 11.71% SC</v>
          </cell>
          <cell r="D234" t="str">
            <v>Patronage pro</v>
          </cell>
          <cell r="E234" t="str">
            <v>200 ML</v>
          </cell>
          <cell r="F234">
            <v>305</v>
          </cell>
          <cell r="G234">
            <v>18</v>
          </cell>
          <cell r="H234">
            <v>54.9</v>
          </cell>
          <cell r="I234">
            <v>359.9</v>
          </cell>
        </row>
        <row r="235">
          <cell r="B235" t="str">
            <v>Ichiban</v>
          </cell>
          <cell r="C235" t="str">
            <v>Picoxystrobin 6.78% + Tricyclazole 20.33% SC</v>
          </cell>
          <cell r="D235" t="str">
            <v>Patronage top</v>
          </cell>
          <cell r="E235" t="str">
            <v>1000 ML</v>
          </cell>
          <cell r="F235">
            <v>1450</v>
          </cell>
          <cell r="G235">
            <v>18</v>
          </cell>
          <cell r="H235">
            <v>261</v>
          </cell>
          <cell r="I235">
            <v>1711</v>
          </cell>
        </row>
        <row r="236">
          <cell r="B236" t="str">
            <v>Ichiban</v>
          </cell>
          <cell r="C236" t="str">
            <v>Picoxystrobin 6.78% + Tricyclazole 20.33% SC</v>
          </cell>
          <cell r="D236" t="str">
            <v>Patronage top</v>
          </cell>
          <cell r="E236" t="str">
            <v>400 ML</v>
          </cell>
          <cell r="F236">
            <v>590</v>
          </cell>
          <cell r="G236">
            <v>18</v>
          </cell>
          <cell r="H236">
            <v>106.2</v>
          </cell>
          <cell r="I236">
            <v>696.2</v>
          </cell>
        </row>
        <row r="237">
          <cell r="B237" t="str">
            <v>Ichiban</v>
          </cell>
          <cell r="C237" t="str">
            <v>Picoxystrobin 6.78% + Tricyclazole 20.33% SC</v>
          </cell>
          <cell r="D237" t="str">
            <v>Patronage top</v>
          </cell>
          <cell r="E237" t="str">
            <v>200 ML</v>
          </cell>
          <cell r="F237">
            <v>305</v>
          </cell>
          <cell r="G237">
            <v>18</v>
          </cell>
          <cell r="H237">
            <v>54.9</v>
          </cell>
          <cell r="I237">
            <v>359.9</v>
          </cell>
        </row>
        <row r="238">
          <cell r="B238" t="str">
            <v>Ichiban</v>
          </cell>
          <cell r="C238" t="str">
            <v>Picoxystrobin 6.78% + Tricyclazole 20.33% SC</v>
          </cell>
          <cell r="D238" t="str">
            <v>Patronage top</v>
          </cell>
          <cell r="E238" t="str">
            <v>100 ML</v>
          </cell>
          <cell r="F238">
            <v>160</v>
          </cell>
          <cell r="G238">
            <v>18</v>
          </cell>
          <cell r="H238">
            <v>28.799999999999997</v>
          </cell>
          <cell r="I238">
            <v>188.8</v>
          </cell>
        </row>
        <row r="239">
          <cell r="B239" t="str">
            <v>Ichiban</v>
          </cell>
          <cell r="C239" t="str">
            <v>Pyraclostroblin 20% WG</v>
          </cell>
          <cell r="D239" t="str">
            <v>Chowkidar</v>
          </cell>
          <cell r="E239" t="str">
            <v>500 GMS</v>
          </cell>
          <cell r="F239">
            <v>1000</v>
          </cell>
          <cell r="G239">
            <v>18</v>
          </cell>
          <cell r="H239">
            <v>180</v>
          </cell>
          <cell r="I239">
            <v>1180</v>
          </cell>
        </row>
        <row r="240">
          <cell r="B240" t="str">
            <v>Ichiban</v>
          </cell>
          <cell r="C240" t="str">
            <v>Pyraclostroblin 20% WG</v>
          </cell>
          <cell r="D240" t="str">
            <v>Chowkidar</v>
          </cell>
          <cell r="E240" t="str">
            <v>200 GMS</v>
          </cell>
          <cell r="F240">
            <v>410</v>
          </cell>
          <cell r="G240">
            <v>18</v>
          </cell>
          <cell r="H240">
            <v>73.8</v>
          </cell>
          <cell r="I240">
            <v>483.8</v>
          </cell>
        </row>
        <row r="241">
          <cell r="B241" t="str">
            <v>Ichiban</v>
          </cell>
          <cell r="C241" t="str">
            <v>Pyraclostroblin 20% WG</v>
          </cell>
          <cell r="D241" t="str">
            <v>Chowkidar</v>
          </cell>
          <cell r="E241" t="str">
            <v>100 GMS</v>
          </cell>
          <cell r="F241">
            <v>215</v>
          </cell>
          <cell r="G241">
            <v>18</v>
          </cell>
          <cell r="H241">
            <v>38.699999999999996</v>
          </cell>
          <cell r="I241">
            <v>253.7</v>
          </cell>
        </row>
        <row r="242">
          <cell r="B242" t="str">
            <v>Ichiban</v>
          </cell>
          <cell r="C242" t="str">
            <v>Pyroclostrobin 113G/L + Epoxiconazole 50G/L  SE</v>
          </cell>
          <cell r="D242" t="str">
            <v>Chowkidar super</v>
          </cell>
          <cell r="E242" t="str">
            <v>900 ML</v>
          </cell>
          <cell r="F242">
            <v>1890</v>
          </cell>
          <cell r="G242">
            <v>18</v>
          </cell>
          <cell r="H242">
            <v>340.2</v>
          </cell>
          <cell r="I242">
            <v>2230.1999999999998</v>
          </cell>
        </row>
        <row r="243">
          <cell r="B243" t="str">
            <v>Ichiban</v>
          </cell>
          <cell r="C243" t="str">
            <v>Pyroclostrobin 113G/L + Epoxiconazole 50G/L  SE</v>
          </cell>
          <cell r="D243" t="str">
            <v>Chowkidar super</v>
          </cell>
          <cell r="E243" t="str">
            <v>300 ML</v>
          </cell>
          <cell r="F243">
            <v>660</v>
          </cell>
          <cell r="G243">
            <v>18</v>
          </cell>
          <cell r="H243">
            <v>118.8</v>
          </cell>
          <cell r="I243">
            <v>778.8</v>
          </cell>
        </row>
        <row r="244">
          <cell r="B244" t="str">
            <v>Ichiban</v>
          </cell>
          <cell r="C244" t="str">
            <v>Boscalid 25.2% + Pyraclostrobin 12.8% WG</v>
          </cell>
          <cell r="D244" t="str">
            <v>Chowkidar Gold</v>
          </cell>
          <cell r="E244" t="str">
            <v>240 GMS</v>
          </cell>
          <cell r="F244">
            <v>1008</v>
          </cell>
          <cell r="G244">
            <v>18</v>
          </cell>
          <cell r="H244">
            <v>181.44</v>
          </cell>
          <cell r="I244">
            <v>1189.44</v>
          </cell>
        </row>
        <row r="245">
          <cell r="B245" t="str">
            <v>Ichiban</v>
          </cell>
          <cell r="C245" t="str">
            <v>Boscalid 25.2% + Pyraclostrobin 12.8% WG</v>
          </cell>
          <cell r="D245" t="str">
            <v>Chowkidar Gold</v>
          </cell>
          <cell r="E245" t="str">
            <v>120 GMS</v>
          </cell>
          <cell r="F245">
            <v>516</v>
          </cell>
          <cell r="G245">
            <v>18</v>
          </cell>
          <cell r="H245">
            <v>92.88</v>
          </cell>
          <cell r="I245">
            <v>608.88</v>
          </cell>
        </row>
        <row r="246">
          <cell r="B246" t="str">
            <v>Ichiban</v>
          </cell>
          <cell r="C246" t="str">
            <v>Azoxystrobin 20% + Thifluzamide 15% SC</v>
          </cell>
          <cell r="D246" t="str">
            <v>Kazuki gold</v>
          </cell>
          <cell r="E246" t="str">
            <v>500 ML</v>
          </cell>
          <cell r="F246">
            <v>1975</v>
          </cell>
          <cell r="G246">
            <v>18</v>
          </cell>
          <cell r="H246">
            <v>355.5</v>
          </cell>
          <cell r="I246">
            <v>2330.5</v>
          </cell>
        </row>
        <row r="247">
          <cell r="B247" t="str">
            <v>Ichiban</v>
          </cell>
          <cell r="C247" t="str">
            <v>Azoxystrobin 20% + Thifluzamide 15% SC</v>
          </cell>
          <cell r="D247" t="str">
            <v>Kazuki gold</v>
          </cell>
          <cell r="E247" t="str">
            <v>250 ML</v>
          </cell>
          <cell r="F247">
            <v>1000</v>
          </cell>
          <cell r="G247">
            <v>18</v>
          </cell>
          <cell r="H247">
            <v>180</v>
          </cell>
          <cell r="I247">
            <v>1180</v>
          </cell>
        </row>
        <row r="248">
          <cell r="B248" t="str">
            <v>Ichiban</v>
          </cell>
          <cell r="C248" t="str">
            <v>Tebuconazole 50% + Trifloxystrobin 25% WG</v>
          </cell>
          <cell r="D248" t="str">
            <v>Kaizen gold</v>
          </cell>
          <cell r="E248" t="str">
            <v>1000 GMS</v>
          </cell>
          <cell r="F248">
            <v>5000</v>
          </cell>
          <cell r="G248">
            <v>18</v>
          </cell>
          <cell r="H248">
            <v>900</v>
          </cell>
          <cell r="I248">
            <v>5900</v>
          </cell>
        </row>
        <row r="249">
          <cell r="B249" t="str">
            <v>Ichiban</v>
          </cell>
          <cell r="C249" t="str">
            <v>Tebuconazole 50% + Trifloxystrobin 25% WG</v>
          </cell>
          <cell r="D249" t="str">
            <v>Kaizen gold</v>
          </cell>
          <cell r="E249" t="str">
            <v>500 GMS</v>
          </cell>
          <cell r="F249">
            <v>2525</v>
          </cell>
          <cell r="G249">
            <v>18</v>
          </cell>
          <cell r="H249">
            <v>454.5</v>
          </cell>
          <cell r="I249">
            <v>2979.5</v>
          </cell>
        </row>
        <row r="250">
          <cell r="B250" t="str">
            <v>Ichiban</v>
          </cell>
          <cell r="C250" t="str">
            <v>Tebuconazole 50% + Trifloxystrobin 25% WG</v>
          </cell>
          <cell r="D250" t="str">
            <v>Kaizen gold</v>
          </cell>
          <cell r="E250" t="str">
            <v>250 GMS</v>
          </cell>
          <cell r="F250">
            <v>1275</v>
          </cell>
          <cell r="G250">
            <v>18</v>
          </cell>
          <cell r="H250">
            <v>229.5</v>
          </cell>
          <cell r="I250">
            <v>1504.5</v>
          </cell>
        </row>
        <row r="251">
          <cell r="B251" t="str">
            <v>Ichiban</v>
          </cell>
          <cell r="C251" t="str">
            <v>Tebuconazole 50% + Trifloxystrobin 25% WG</v>
          </cell>
          <cell r="D251" t="str">
            <v>Kaizen gold</v>
          </cell>
          <cell r="E251" t="str">
            <v>100 GMS</v>
          </cell>
          <cell r="F251">
            <v>520</v>
          </cell>
          <cell r="G251">
            <v>18</v>
          </cell>
          <cell r="H251">
            <v>93.6</v>
          </cell>
          <cell r="I251">
            <v>613.6</v>
          </cell>
        </row>
        <row r="252">
          <cell r="B252" t="str">
            <v>Ichiban</v>
          </cell>
          <cell r="C252" t="str">
            <v>Fosetyl Al 80% WP</v>
          </cell>
          <cell r="D252" t="str">
            <v>Arkka Super</v>
          </cell>
          <cell r="E252" t="str">
            <v>1000 GMS</v>
          </cell>
          <cell r="F252">
            <v>1800</v>
          </cell>
          <cell r="G252">
            <v>18</v>
          </cell>
          <cell r="H252">
            <v>324</v>
          </cell>
          <cell r="I252">
            <v>2124</v>
          </cell>
        </row>
        <row r="253">
          <cell r="B253" t="str">
            <v>Ichiban</v>
          </cell>
          <cell r="C253" t="str">
            <v>Fosetyl Al 80% WP</v>
          </cell>
          <cell r="D253" t="str">
            <v>Arkka Super</v>
          </cell>
          <cell r="E253" t="str">
            <v>500 GMS</v>
          </cell>
          <cell r="F253">
            <v>912.5</v>
          </cell>
          <cell r="G253">
            <v>18</v>
          </cell>
          <cell r="H253">
            <v>164.25</v>
          </cell>
          <cell r="I253">
            <v>1076.75</v>
          </cell>
        </row>
        <row r="254">
          <cell r="B254" t="str">
            <v>Ichiban</v>
          </cell>
          <cell r="C254" t="str">
            <v>Fosetyl Al 80% WP</v>
          </cell>
          <cell r="D254" t="str">
            <v>Arkka Super</v>
          </cell>
          <cell r="E254" t="str">
            <v>250 GM</v>
          </cell>
          <cell r="F254">
            <v>465</v>
          </cell>
          <cell r="G254">
            <v>18</v>
          </cell>
          <cell r="H254">
            <v>83.7</v>
          </cell>
          <cell r="I254">
            <v>548.70000000000005</v>
          </cell>
        </row>
        <row r="255">
          <cell r="B255" t="str">
            <v>Ichiban</v>
          </cell>
          <cell r="C255" t="str">
            <v>Fosetyl Al 80% WP</v>
          </cell>
          <cell r="D255" t="str">
            <v>Arkka Super</v>
          </cell>
          <cell r="E255" t="str">
            <v>100 GMS</v>
          </cell>
          <cell r="F255">
            <v>192.5</v>
          </cell>
          <cell r="G255">
            <v>18</v>
          </cell>
          <cell r="H255">
            <v>34.65</v>
          </cell>
          <cell r="I255">
            <v>227.15</v>
          </cell>
        </row>
        <row r="256">
          <cell r="B256" t="str">
            <v>Ichiban</v>
          </cell>
          <cell r="C256" t="str">
            <v>Cyazofamid 34.5% SC</v>
          </cell>
          <cell r="D256" t="str">
            <v>Charizma</v>
          </cell>
          <cell r="E256" t="str">
            <v>80 ML</v>
          </cell>
          <cell r="F256">
            <v>880</v>
          </cell>
          <cell r="G256">
            <v>18</v>
          </cell>
          <cell r="H256">
            <v>158.4</v>
          </cell>
          <cell r="I256">
            <v>1038.4000000000001</v>
          </cell>
        </row>
        <row r="257">
          <cell r="B257" t="str">
            <v>Ichiban</v>
          </cell>
          <cell r="C257" t="str">
            <v>Cyazofamid 34.5% SC</v>
          </cell>
          <cell r="D257" t="str">
            <v>Charizma</v>
          </cell>
          <cell r="E257" t="str">
            <v>40 ML</v>
          </cell>
          <cell r="F257">
            <v>480</v>
          </cell>
          <cell r="G257">
            <v>18</v>
          </cell>
          <cell r="H257">
            <v>86.399999999999991</v>
          </cell>
          <cell r="I257">
            <v>566.4</v>
          </cell>
        </row>
        <row r="258">
          <cell r="B258" t="str">
            <v>Ichiban</v>
          </cell>
          <cell r="C258" t="str">
            <v>Cymoxilin 8% + Mancozeb 64% WP</v>
          </cell>
          <cell r="D258" t="str">
            <v>Clubman</v>
          </cell>
          <cell r="E258" t="str">
            <v>1200 GMS</v>
          </cell>
          <cell r="F258">
            <v>804</v>
          </cell>
          <cell r="G258">
            <v>18</v>
          </cell>
          <cell r="H258">
            <v>144.72</v>
          </cell>
          <cell r="I258">
            <v>948.72</v>
          </cell>
        </row>
        <row r="259">
          <cell r="B259" t="str">
            <v>Ichiban</v>
          </cell>
          <cell r="C259" t="str">
            <v>Cymoxilin 8% + Mancozeb 64% WP</v>
          </cell>
          <cell r="D259" t="str">
            <v>Clubman</v>
          </cell>
          <cell r="E259" t="str">
            <v>600 GMS</v>
          </cell>
          <cell r="F259">
            <v>411</v>
          </cell>
          <cell r="G259">
            <v>18</v>
          </cell>
          <cell r="H259">
            <v>73.98</v>
          </cell>
          <cell r="I259">
            <v>484.98</v>
          </cell>
        </row>
        <row r="260">
          <cell r="B260" t="str">
            <v>Ichiban</v>
          </cell>
          <cell r="C260" t="str">
            <v>Cymoxilin 8% + Mancozeb 64% WP</v>
          </cell>
          <cell r="D260" t="str">
            <v>Clubman</v>
          </cell>
          <cell r="E260" t="str">
            <v>300 GMS</v>
          </cell>
          <cell r="F260">
            <v>216</v>
          </cell>
          <cell r="G260">
            <v>18</v>
          </cell>
          <cell r="H260">
            <v>38.879999999999995</v>
          </cell>
          <cell r="I260">
            <v>254.88</v>
          </cell>
        </row>
        <row r="261">
          <cell r="B261" t="str">
            <v>Ichiban</v>
          </cell>
          <cell r="C261" t="str">
            <v>Cymoxilin 8% + Mancozeb 64% WP</v>
          </cell>
          <cell r="D261" t="str">
            <v>Clubman</v>
          </cell>
          <cell r="E261" t="str">
            <v>100 GMS</v>
          </cell>
          <cell r="F261">
            <v>77</v>
          </cell>
          <cell r="G261">
            <v>18</v>
          </cell>
          <cell r="H261">
            <v>13.86</v>
          </cell>
          <cell r="I261">
            <v>90.86</v>
          </cell>
        </row>
        <row r="262">
          <cell r="B262" t="str">
            <v>Ichiban</v>
          </cell>
          <cell r="C262" t="str">
            <v>Dimethomorph 50% WP</v>
          </cell>
          <cell r="D262" t="str">
            <v>Barista</v>
          </cell>
          <cell r="E262" t="str">
            <v>1000 GMS</v>
          </cell>
          <cell r="F262">
            <v>1900</v>
          </cell>
          <cell r="G262">
            <v>18</v>
          </cell>
          <cell r="H262">
            <v>342</v>
          </cell>
          <cell r="I262">
            <v>2242</v>
          </cell>
        </row>
        <row r="263">
          <cell r="B263" t="str">
            <v>Ichiban</v>
          </cell>
          <cell r="C263" t="str">
            <v>Dimethomorph 50% WP</v>
          </cell>
          <cell r="D263" t="str">
            <v>Barista</v>
          </cell>
          <cell r="E263" t="str">
            <v>200 GMS</v>
          </cell>
          <cell r="F263">
            <v>400</v>
          </cell>
          <cell r="G263">
            <v>18</v>
          </cell>
          <cell r="H263">
            <v>72</v>
          </cell>
          <cell r="I263">
            <v>472</v>
          </cell>
        </row>
        <row r="264">
          <cell r="B264" t="str">
            <v>Ichiban</v>
          </cell>
          <cell r="C264" t="str">
            <v>Dimethomorph 50% WP</v>
          </cell>
          <cell r="D264" t="str">
            <v>Barista</v>
          </cell>
          <cell r="E264" t="str">
            <v>100 GMS</v>
          </cell>
          <cell r="F264">
            <v>0</v>
          </cell>
          <cell r="G264">
            <v>18</v>
          </cell>
          <cell r="H264">
            <v>0</v>
          </cell>
          <cell r="I264">
            <v>0</v>
          </cell>
        </row>
        <row r="265">
          <cell r="B265" t="str">
            <v>Ichiban</v>
          </cell>
          <cell r="C265" t="str">
            <v>Mendipropamid 23.4%  SC</v>
          </cell>
          <cell r="D265" t="str">
            <v>Battlefield</v>
          </cell>
          <cell r="E265" t="str">
            <v>1000 ML</v>
          </cell>
          <cell r="F265">
            <v>0</v>
          </cell>
          <cell r="G265">
            <v>18</v>
          </cell>
          <cell r="H265">
            <v>0</v>
          </cell>
          <cell r="I265">
            <v>0</v>
          </cell>
        </row>
        <row r="266">
          <cell r="B266" t="str">
            <v>Ichiban</v>
          </cell>
          <cell r="C266" t="str">
            <v>Mendipropamid 23.4%  SC</v>
          </cell>
          <cell r="D266" t="str">
            <v>Battlefield</v>
          </cell>
          <cell r="E266" t="str">
            <v>500 ML</v>
          </cell>
          <cell r="F266">
            <v>2200</v>
          </cell>
          <cell r="G266">
            <v>18</v>
          </cell>
          <cell r="H266">
            <v>396</v>
          </cell>
          <cell r="I266">
            <v>2596</v>
          </cell>
        </row>
        <row r="267">
          <cell r="B267" t="str">
            <v>Ichiban</v>
          </cell>
          <cell r="C267" t="str">
            <v>Mendipropamid 23.4%  SC</v>
          </cell>
          <cell r="D267" t="str">
            <v>Battlefield</v>
          </cell>
          <cell r="E267" t="str">
            <v>160 ML</v>
          </cell>
          <cell r="F267">
            <v>726.72</v>
          </cell>
          <cell r="G267">
            <v>18</v>
          </cell>
          <cell r="H267">
            <v>130.80959999999999</v>
          </cell>
          <cell r="I267">
            <v>857.52960000000007</v>
          </cell>
        </row>
        <row r="268">
          <cell r="B268" t="str">
            <v>Ichiban</v>
          </cell>
          <cell r="C268" t="str">
            <v>Metalaxyl M 4% + Mancozeb 64% WP</v>
          </cell>
          <cell r="D268" t="str">
            <v>Ichilax gold</v>
          </cell>
          <cell r="E268" t="str">
            <v>1000 GMS</v>
          </cell>
          <cell r="F268">
            <v>1050</v>
          </cell>
          <cell r="G268">
            <v>18</v>
          </cell>
          <cell r="H268">
            <v>189</v>
          </cell>
          <cell r="I268">
            <v>1239</v>
          </cell>
        </row>
        <row r="269">
          <cell r="B269" t="str">
            <v>Ichiban</v>
          </cell>
          <cell r="C269" t="str">
            <v>Metalaxyl M 4% + Mancozeb 64% WP</v>
          </cell>
          <cell r="D269" t="str">
            <v>Ichilax gold</v>
          </cell>
          <cell r="E269" t="str">
            <v>500 GMS</v>
          </cell>
          <cell r="F269">
            <v>537.5</v>
          </cell>
          <cell r="G269">
            <v>18</v>
          </cell>
          <cell r="H269">
            <v>96.75</v>
          </cell>
          <cell r="I269">
            <v>634.25</v>
          </cell>
        </row>
        <row r="270">
          <cell r="B270" t="str">
            <v>Ichiban</v>
          </cell>
          <cell r="C270" t="str">
            <v>Metalaxyl M 4% + Mancozeb 64% WP</v>
          </cell>
          <cell r="D270" t="str">
            <v>Ichilax gold</v>
          </cell>
          <cell r="E270" t="str">
            <v>250 GMS</v>
          </cell>
          <cell r="F270">
            <v>277.5</v>
          </cell>
          <cell r="G270">
            <v>18</v>
          </cell>
          <cell r="H270">
            <v>49.949999999999996</v>
          </cell>
          <cell r="I270">
            <v>327.45</v>
          </cell>
        </row>
        <row r="271">
          <cell r="B271" t="str">
            <v>Ichiban</v>
          </cell>
          <cell r="C271" t="str">
            <v>Metalaxyl M 4% + Mancozeb 64% WP</v>
          </cell>
          <cell r="D271" t="str">
            <v>Ichilax gold</v>
          </cell>
          <cell r="E271" t="str">
            <v>100 GMS</v>
          </cell>
          <cell r="F271">
            <v>117.5</v>
          </cell>
          <cell r="G271">
            <v>18</v>
          </cell>
          <cell r="H271">
            <v>21.15</v>
          </cell>
          <cell r="I271">
            <v>138.65</v>
          </cell>
        </row>
        <row r="272">
          <cell r="B272" t="str">
            <v>Ichiban</v>
          </cell>
          <cell r="C272" t="str">
            <v>Iprovalicarb 5.5% + Propineb 61.25% WP</v>
          </cell>
          <cell r="D272" t="str">
            <v>Martini</v>
          </cell>
          <cell r="E272" t="str">
            <v>800 GMS</v>
          </cell>
          <cell r="F272">
            <v>0</v>
          </cell>
          <cell r="G272">
            <v>18</v>
          </cell>
          <cell r="H272">
            <v>0</v>
          </cell>
          <cell r="I272">
            <v>0</v>
          </cell>
        </row>
        <row r="273">
          <cell r="B273" t="str">
            <v>Ichiban</v>
          </cell>
          <cell r="C273" t="str">
            <v>Iprovalicarb 5.5% + Propineb 61.25% WP</v>
          </cell>
          <cell r="D273" t="str">
            <v>Martini</v>
          </cell>
          <cell r="E273" t="str">
            <v>400 GMS</v>
          </cell>
          <cell r="F273">
            <v>0</v>
          </cell>
          <cell r="G273">
            <v>18</v>
          </cell>
          <cell r="H273">
            <v>0</v>
          </cell>
          <cell r="I273">
            <v>0</v>
          </cell>
        </row>
        <row r="274">
          <cell r="B274" t="str">
            <v>Ichiban</v>
          </cell>
          <cell r="C274" t="str">
            <v>Propineb 70% WP</v>
          </cell>
          <cell r="D274" t="str">
            <v>Diksha</v>
          </cell>
          <cell r="E274" t="str">
            <v>1000 GMS</v>
          </cell>
          <cell r="F274">
            <v>510</v>
          </cell>
          <cell r="G274">
            <v>18</v>
          </cell>
          <cell r="H274">
            <v>91.8</v>
          </cell>
          <cell r="I274">
            <v>601.79999999999995</v>
          </cell>
        </row>
        <row r="275">
          <cell r="B275" t="str">
            <v>Ichiban</v>
          </cell>
          <cell r="C275" t="str">
            <v>Propineb 70% WP</v>
          </cell>
          <cell r="D275" t="str">
            <v>Diksha</v>
          </cell>
          <cell r="E275" t="str">
            <v>500 GMS</v>
          </cell>
          <cell r="F275">
            <v>262.5</v>
          </cell>
          <cell r="G275">
            <v>18</v>
          </cell>
          <cell r="H275">
            <v>47.25</v>
          </cell>
          <cell r="I275">
            <v>309.75</v>
          </cell>
        </row>
        <row r="276">
          <cell r="B276" t="str">
            <v>Ichiban</v>
          </cell>
          <cell r="C276" t="str">
            <v>Propineb 70% WP</v>
          </cell>
          <cell r="D276" t="str">
            <v>Diksha</v>
          </cell>
          <cell r="E276" t="str">
            <v>250 GMS</v>
          </cell>
          <cell r="F276">
            <v>140</v>
          </cell>
          <cell r="G276">
            <v>18</v>
          </cell>
          <cell r="H276">
            <v>25.2</v>
          </cell>
          <cell r="I276">
            <v>165.2</v>
          </cell>
        </row>
        <row r="277">
          <cell r="B277" t="str">
            <v>Ichiban</v>
          </cell>
          <cell r="C277" t="str">
            <v>Propineb 70% WP</v>
          </cell>
          <cell r="D277" t="str">
            <v>Diksha</v>
          </cell>
          <cell r="E277" t="str">
            <v>100 GMS</v>
          </cell>
          <cell r="F277">
            <v>61</v>
          </cell>
          <cell r="G277">
            <v>18</v>
          </cell>
          <cell r="H277">
            <v>10.98</v>
          </cell>
          <cell r="I277">
            <v>71.98</v>
          </cell>
        </row>
        <row r="278">
          <cell r="B278" t="str">
            <v>Ichiban</v>
          </cell>
          <cell r="C278" t="str">
            <v>Dodine 65% WP</v>
          </cell>
          <cell r="D278" t="str">
            <v>Dua</v>
          </cell>
          <cell r="E278" t="str">
            <v>500 GMS</v>
          </cell>
          <cell r="F278">
            <v>550</v>
          </cell>
          <cell r="G278">
            <v>18</v>
          </cell>
          <cell r="H278">
            <v>99</v>
          </cell>
          <cell r="I278">
            <v>649</v>
          </cell>
        </row>
        <row r="279">
          <cell r="B279" t="str">
            <v>Ichiban</v>
          </cell>
          <cell r="C279" t="str">
            <v>Dodine 65% WP</v>
          </cell>
          <cell r="D279" t="str">
            <v>Dua</v>
          </cell>
          <cell r="E279" t="str">
            <v>100 GMS</v>
          </cell>
          <cell r="F279">
            <v>115</v>
          </cell>
          <cell r="G279">
            <v>18</v>
          </cell>
          <cell r="H279">
            <v>20.7</v>
          </cell>
          <cell r="I279">
            <v>135.69999999999999</v>
          </cell>
        </row>
        <row r="280">
          <cell r="B280" t="str">
            <v>Ichiban</v>
          </cell>
          <cell r="C280" t="str">
            <v>Captan 50% WP</v>
          </cell>
          <cell r="D280" t="str">
            <v>Kainaat</v>
          </cell>
          <cell r="E280" t="str">
            <v>1000 GMS</v>
          </cell>
          <cell r="F280">
            <v>360</v>
          </cell>
          <cell r="G280">
            <v>18</v>
          </cell>
          <cell r="H280">
            <v>64.8</v>
          </cell>
          <cell r="I280">
            <v>424.8</v>
          </cell>
        </row>
        <row r="281">
          <cell r="B281" t="str">
            <v>Ichiban</v>
          </cell>
          <cell r="C281" t="str">
            <v>Captan 50% WP</v>
          </cell>
          <cell r="D281" t="str">
            <v>Kainaat</v>
          </cell>
          <cell r="E281" t="str">
            <v>500 GMS</v>
          </cell>
          <cell r="F281">
            <v>185</v>
          </cell>
          <cell r="G281">
            <v>18</v>
          </cell>
          <cell r="H281">
            <v>33.299999999999997</v>
          </cell>
          <cell r="I281">
            <v>218.3</v>
          </cell>
        </row>
        <row r="282">
          <cell r="B282" t="str">
            <v>Ichiban</v>
          </cell>
          <cell r="C282" t="str">
            <v>Thifluzamide 24% SC</v>
          </cell>
          <cell r="D282" t="str">
            <v>Kazuki</v>
          </cell>
          <cell r="E282" t="str">
            <v>1000 ML</v>
          </cell>
          <cell r="F282">
            <v>1600</v>
          </cell>
          <cell r="G282">
            <v>18</v>
          </cell>
          <cell r="H282">
            <v>288</v>
          </cell>
          <cell r="I282">
            <v>1888</v>
          </cell>
        </row>
        <row r="283">
          <cell r="B283" t="str">
            <v>Ichiban</v>
          </cell>
          <cell r="C283" t="str">
            <v>Thifluzamide 24% SC</v>
          </cell>
          <cell r="D283" t="str">
            <v>Kazuki</v>
          </cell>
          <cell r="E283" t="str">
            <v>500 ML</v>
          </cell>
          <cell r="F283">
            <v>812.5</v>
          </cell>
          <cell r="G283">
            <v>18</v>
          </cell>
          <cell r="H283">
            <v>146.25</v>
          </cell>
          <cell r="I283">
            <v>958.75</v>
          </cell>
        </row>
        <row r="284">
          <cell r="B284" t="str">
            <v>Ichiban</v>
          </cell>
          <cell r="C284" t="str">
            <v>Thifluzamide 24% SC</v>
          </cell>
          <cell r="D284" t="str">
            <v>Kazuki</v>
          </cell>
          <cell r="E284" t="str">
            <v>150 ML</v>
          </cell>
          <cell r="F284">
            <v>251.25</v>
          </cell>
          <cell r="G284">
            <v>18</v>
          </cell>
          <cell r="H284">
            <v>45.225000000000001</v>
          </cell>
          <cell r="I284">
            <v>296.47500000000002</v>
          </cell>
        </row>
        <row r="285">
          <cell r="B285" t="str">
            <v>Ichiban</v>
          </cell>
          <cell r="C285" t="str">
            <v>Metiram 70% WG</v>
          </cell>
          <cell r="D285" t="str">
            <v>Pakshi</v>
          </cell>
          <cell r="E285" t="str">
            <v>800 GMS</v>
          </cell>
          <cell r="F285">
            <v>620</v>
          </cell>
          <cell r="G285">
            <v>18</v>
          </cell>
          <cell r="H285">
            <v>111.6</v>
          </cell>
          <cell r="I285">
            <v>731.6</v>
          </cell>
        </row>
        <row r="286">
          <cell r="B286" t="str">
            <v>Ichiban</v>
          </cell>
          <cell r="C286" t="str">
            <v>Metiram 70% WG</v>
          </cell>
          <cell r="D286" t="str">
            <v>Pakshi</v>
          </cell>
          <cell r="E286" t="str">
            <v>400 GMS</v>
          </cell>
          <cell r="F286">
            <v>320</v>
          </cell>
          <cell r="G286">
            <v>18</v>
          </cell>
          <cell r="H286">
            <v>57.599999999999994</v>
          </cell>
          <cell r="I286">
            <v>377.6</v>
          </cell>
        </row>
        <row r="287">
          <cell r="B287" t="str">
            <v>Ichiban</v>
          </cell>
          <cell r="C287" t="str">
            <v>Tebuconazole 6.7% + Captan  26.9% SC</v>
          </cell>
          <cell r="D287" t="str">
            <v>Rafale</v>
          </cell>
          <cell r="E287" t="str">
            <v>1000 ML</v>
          </cell>
          <cell r="F287">
            <v>675</v>
          </cell>
          <cell r="G287">
            <v>18</v>
          </cell>
          <cell r="H287">
            <v>121.5</v>
          </cell>
          <cell r="I287">
            <v>796.5</v>
          </cell>
        </row>
        <row r="288">
          <cell r="B288" t="str">
            <v>Ichiban</v>
          </cell>
          <cell r="C288" t="str">
            <v>Tebuconazole 6.7% + Captan  26.9% SC</v>
          </cell>
          <cell r="D288" t="str">
            <v>Rafale</v>
          </cell>
          <cell r="E288" t="str">
            <v>500 ML</v>
          </cell>
          <cell r="F288">
            <v>347.5</v>
          </cell>
          <cell r="G288">
            <v>18</v>
          </cell>
          <cell r="H288">
            <v>62.55</v>
          </cell>
          <cell r="I288">
            <v>410.05</v>
          </cell>
        </row>
        <row r="289">
          <cell r="B289" t="str">
            <v>Ichiban</v>
          </cell>
          <cell r="C289" t="str">
            <v>Tebuconazole 6.7% + Captan  26.9% SC</v>
          </cell>
          <cell r="D289" t="str">
            <v>Rafale</v>
          </cell>
          <cell r="E289" t="str">
            <v>250 ML</v>
          </cell>
          <cell r="F289">
            <v>183.75</v>
          </cell>
          <cell r="G289">
            <v>18</v>
          </cell>
          <cell r="H289">
            <v>33.074999999999996</v>
          </cell>
          <cell r="I289">
            <v>216.82499999999999</v>
          </cell>
        </row>
        <row r="290">
          <cell r="B290" t="str">
            <v>Ichiban</v>
          </cell>
          <cell r="C290" t="str">
            <v>Carbendazim 12% + Mancozeb 63% WP</v>
          </cell>
          <cell r="D290" t="str">
            <v>Sushi</v>
          </cell>
          <cell r="E290" t="str">
            <v>1000 GMS</v>
          </cell>
          <cell r="F290">
            <v>450</v>
          </cell>
          <cell r="G290">
            <v>18</v>
          </cell>
          <cell r="H290">
            <v>81</v>
          </cell>
          <cell r="I290">
            <v>531</v>
          </cell>
        </row>
        <row r="291">
          <cell r="B291" t="str">
            <v>Ichiban</v>
          </cell>
          <cell r="C291" t="str">
            <v>Carbendazim 12% + Mancozeb 63% WP</v>
          </cell>
          <cell r="D291" t="str">
            <v>Sushi</v>
          </cell>
          <cell r="E291" t="str">
            <v>500 GMS</v>
          </cell>
          <cell r="F291">
            <v>230</v>
          </cell>
          <cell r="G291">
            <v>18</v>
          </cell>
          <cell r="H291">
            <v>41.4</v>
          </cell>
          <cell r="I291">
            <v>271.39999999999998</v>
          </cell>
        </row>
        <row r="292">
          <cell r="B292" t="str">
            <v>Ichiban</v>
          </cell>
          <cell r="C292" t="str">
            <v>Carbendazim 12% + Mancozeb 63% WP</v>
          </cell>
          <cell r="D292" t="str">
            <v>Sushi</v>
          </cell>
          <cell r="E292" t="str">
            <v>250 GMS</v>
          </cell>
          <cell r="F292">
            <v>122.5</v>
          </cell>
          <cell r="G292">
            <v>18</v>
          </cell>
          <cell r="H292">
            <v>22.05</v>
          </cell>
          <cell r="I292">
            <v>144.55000000000001</v>
          </cell>
        </row>
        <row r="293">
          <cell r="B293" t="str">
            <v>Ichiban</v>
          </cell>
          <cell r="C293" t="str">
            <v>Carbendazim 12% + Mancozeb 63% WP</v>
          </cell>
          <cell r="D293" t="str">
            <v>Sushi</v>
          </cell>
          <cell r="E293" t="str">
            <v>100 GMS</v>
          </cell>
          <cell r="F293">
            <v>53</v>
          </cell>
          <cell r="G293">
            <v>18</v>
          </cell>
          <cell r="H293">
            <v>9.5399999999999991</v>
          </cell>
          <cell r="I293">
            <v>62.54</v>
          </cell>
        </row>
        <row r="294">
          <cell r="B294" t="str">
            <v>Ichiban</v>
          </cell>
          <cell r="C294" t="str">
            <v>Carbendazim 12% + Mancozeb 63% WP</v>
          </cell>
          <cell r="D294" t="str">
            <v>Sushi</v>
          </cell>
          <cell r="E294" t="str">
            <v>20 GMS</v>
          </cell>
          <cell r="F294">
            <v>13</v>
          </cell>
          <cell r="G294">
            <v>18</v>
          </cell>
          <cell r="H294">
            <v>2.34</v>
          </cell>
          <cell r="I294">
            <v>15.34</v>
          </cell>
        </row>
        <row r="295">
          <cell r="B295" t="str">
            <v>Ichiban</v>
          </cell>
          <cell r="C295" t="str">
            <v>Mancozeb 75% WP</v>
          </cell>
          <cell r="D295" t="str">
            <v>Zapan m 45</v>
          </cell>
          <cell r="E295" t="str">
            <v>1000 GMS</v>
          </cell>
          <cell r="F295">
            <v>335</v>
          </cell>
          <cell r="G295">
            <v>18</v>
          </cell>
          <cell r="H295">
            <v>60.3</v>
          </cell>
          <cell r="I295">
            <v>395.3</v>
          </cell>
        </row>
        <row r="296">
          <cell r="B296" t="str">
            <v>Ichiban</v>
          </cell>
          <cell r="C296" t="str">
            <v>Mancozeb 75% WP</v>
          </cell>
          <cell r="D296" t="str">
            <v>Zapan m 45</v>
          </cell>
          <cell r="E296" t="str">
            <v>500 GMS</v>
          </cell>
          <cell r="F296">
            <v>172.5</v>
          </cell>
          <cell r="G296">
            <v>18</v>
          </cell>
          <cell r="H296">
            <v>31.049999999999997</v>
          </cell>
          <cell r="I296">
            <v>203.55</v>
          </cell>
        </row>
        <row r="297">
          <cell r="B297" t="str">
            <v>Ichiban</v>
          </cell>
          <cell r="C297" t="str">
            <v>Mancozeb 75% WP</v>
          </cell>
          <cell r="D297" t="str">
            <v>Zapan m 45</v>
          </cell>
          <cell r="E297" t="str">
            <v>250 GMS</v>
          </cell>
          <cell r="F297">
            <v>93.75</v>
          </cell>
          <cell r="G297">
            <v>18</v>
          </cell>
          <cell r="H297">
            <v>16.875</v>
          </cell>
          <cell r="I297">
            <v>110.625</v>
          </cell>
        </row>
        <row r="298">
          <cell r="B298" t="str">
            <v>Ichiban</v>
          </cell>
          <cell r="C298" t="str">
            <v>Mancozeb 75% WP</v>
          </cell>
          <cell r="D298" t="str">
            <v>Zapan m 45</v>
          </cell>
          <cell r="E298" t="str">
            <v>100 GMS</v>
          </cell>
          <cell r="F298">
            <v>41.5</v>
          </cell>
          <cell r="G298">
            <v>18</v>
          </cell>
          <cell r="H298">
            <v>7.47</v>
          </cell>
          <cell r="I298">
            <v>48.97</v>
          </cell>
        </row>
        <row r="299">
          <cell r="B299" t="str">
            <v>Ichiban</v>
          </cell>
          <cell r="C299" t="str">
            <v>Fluopyram 17.7% + Tebuconazole 17.7% SC</v>
          </cell>
          <cell r="D299" t="str">
            <v>Martini experience</v>
          </cell>
          <cell r="E299" t="str">
            <v>1000 ML</v>
          </cell>
          <cell r="F299">
            <v>4300</v>
          </cell>
          <cell r="G299">
            <v>18</v>
          </cell>
          <cell r="H299">
            <v>774</v>
          </cell>
          <cell r="I299">
            <v>5074</v>
          </cell>
        </row>
        <row r="300">
          <cell r="B300" t="str">
            <v>Ichiban</v>
          </cell>
          <cell r="C300" t="str">
            <v>Fluopyram 17.7% + Tebuconazole 17.7% SC</v>
          </cell>
          <cell r="D300" t="str">
            <v>Martini experience</v>
          </cell>
          <cell r="E300" t="str">
            <v>500 ML</v>
          </cell>
          <cell r="F300">
            <v>2175</v>
          </cell>
          <cell r="G300">
            <v>18</v>
          </cell>
          <cell r="H300">
            <v>391.5</v>
          </cell>
          <cell r="I300">
            <v>2566.5</v>
          </cell>
        </row>
        <row r="301">
          <cell r="B301" t="str">
            <v>Ichiban</v>
          </cell>
          <cell r="C301" t="str">
            <v>Fluopyram 17.7% + Tebuconazole 17.7% SC</v>
          </cell>
          <cell r="D301" t="str">
            <v>Martini experience</v>
          </cell>
          <cell r="E301" t="str">
            <v>250 ML</v>
          </cell>
          <cell r="F301">
            <v>1100</v>
          </cell>
          <cell r="G301">
            <v>18</v>
          </cell>
          <cell r="H301">
            <v>198</v>
          </cell>
          <cell r="I301">
            <v>1298</v>
          </cell>
        </row>
        <row r="302">
          <cell r="B302" t="str">
            <v>Ichiban</v>
          </cell>
          <cell r="C302" t="str">
            <v>Fluopyram 17.7% + Tebuconazole 17.7% SC</v>
          </cell>
          <cell r="D302" t="str">
            <v>Martini experience</v>
          </cell>
          <cell r="E302" t="str">
            <v>100 ML</v>
          </cell>
          <cell r="F302">
            <v>450</v>
          </cell>
          <cell r="G302">
            <v>18</v>
          </cell>
          <cell r="H302">
            <v>81</v>
          </cell>
          <cell r="I302">
            <v>531</v>
          </cell>
        </row>
        <row r="303">
          <cell r="B303" t="str">
            <v>Ichiban</v>
          </cell>
          <cell r="C303" t="str">
            <v>Carbendazim 25% + Flusilazole 12.5% SE</v>
          </cell>
          <cell r="D303" t="str">
            <v>Levearage</v>
          </cell>
          <cell r="E303" t="str">
            <v>1000 ML</v>
          </cell>
          <cell r="F303">
            <v>2400</v>
          </cell>
          <cell r="G303">
            <v>18</v>
          </cell>
          <cell r="H303">
            <v>432</v>
          </cell>
          <cell r="I303">
            <v>2832</v>
          </cell>
        </row>
        <row r="304">
          <cell r="B304" t="str">
            <v>Ichiban</v>
          </cell>
          <cell r="C304" t="str">
            <v>Carbendazim 25% + Flusilazole 12.5% SE</v>
          </cell>
          <cell r="D304" t="str">
            <v>Levearage</v>
          </cell>
          <cell r="E304" t="str">
            <v>500 ML</v>
          </cell>
          <cell r="F304">
            <v>1225</v>
          </cell>
          <cell r="G304">
            <v>18</v>
          </cell>
          <cell r="H304">
            <v>220.5</v>
          </cell>
          <cell r="I304">
            <v>1445.5</v>
          </cell>
        </row>
        <row r="305">
          <cell r="B305" t="str">
            <v>Ichiban</v>
          </cell>
          <cell r="C305" t="str">
            <v>Carbendazim 25% + Flusilazole 12.5% SE</v>
          </cell>
          <cell r="D305" t="str">
            <v>Levearage</v>
          </cell>
          <cell r="E305" t="str">
            <v>250 ML</v>
          </cell>
          <cell r="F305">
            <v>625</v>
          </cell>
          <cell r="G305">
            <v>18</v>
          </cell>
          <cell r="H305">
            <v>112.5</v>
          </cell>
          <cell r="I305">
            <v>737.5</v>
          </cell>
        </row>
        <row r="306">
          <cell r="B306" t="str">
            <v>Ichiban</v>
          </cell>
          <cell r="C306" t="str">
            <v>Carbendazim 25% + Flusilazole 12.5% SE</v>
          </cell>
          <cell r="D306" t="str">
            <v>Levearage</v>
          </cell>
          <cell r="E306" t="str">
            <v>100 ML</v>
          </cell>
          <cell r="F306">
            <v>260</v>
          </cell>
          <cell r="G306">
            <v>18</v>
          </cell>
          <cell r="H306">
            <v>46.8</v>
          </cell>
          <cell r="I306">
            <v>306.8</v>
          </cell>
        </row>
        <row r="307">
          <cell r="B307" t="str">
            <v>Ichiban</v>
          </cell>
          <cell r="C307" t="str">
            <v>Flusilazole 40% EC</v>
          </cell>
          <cell r="D307" t="str">
            <v>Karigar</v>
          </cell>
          <cell r="E307" t="str">
            <v>250 ML</v>
          </cell>
          <cell r="F307">
            <v>1225</v>
          </cell>
          <cell r="G307">
            <v>18</v>
          </cell>
          <cell r="H307">
            <v>220.5</v>
          </cell>
          <cell r="I307">
            <v>1445.5</v>
          </cell>
        </row>
        <row r="308">
          <cell r="B308" t="str">
            <v>Ichiban</v>
          </cell>
          <cell r="C308" t="str">
            <v>Flusilazole 40% EC</v>
          </cell>
          <cell r="D308" t="str">
            <v>Karigar</v>
          </cell>
          <cell r="E308" t="str">
            <v>100 ML</v>
          </cell>
          <cell r="F308">
            <v>500</v>
          </cell>
          <cell r="G308">
            <v>18</v>
          </cell>
          <cell r="H308">
            <v>90</v>
          </cell>
          <cell r="I308">
            <v>590</v>
          </cell>
        </row>
        <row r="309">
          <cell r="B309" t="str">
            <v>Ichiban</v>
          </cell>
          <cell r="C309" t="str">
            <v>Penconazole 10% EC</v>
          </cell>
          <cell r="D309" t="str">
            <v>Topliner</v>
          </cell>
          <cell r="E309" t="str">
            <v>500 ML</v>
          </cell>
          <cell r="F309">
            <v>1225</v>
          </cell>
          <cell r="G309">
            <v>18</v>
          </cell>
          <cell r="H309">
            <v>220.5</v>
          </cell>
          <cell r="I309">
            <v>1445.5</v>
          </cell>
        </row>
        <row r="310">
          <cell r="B310" t="str">
            <v>Ichiban</v>
          </cell>
          <cell r="C310" t="str">
            <v>Penconazole 10% EC</v>
          </cell>
          <cell r="D310" t="str">
            <v>Topliner</v>
          </cell>
          <cell r="E310" t="str">
            <v>250 ML</v>
          </cell>
          <cell r="F310">
            <v>625</v>
          </cell>
          <cell r="G310">
            <v>18</v>
          </cell>
          <cell r="H310">
            <v>112.5</v>
          </cell>
          <cell r="I310">
            <v>737.5</v>
          </cell>
        </row>
        <row r="311">
          <cell r="B311" t="str">
            <v>Ichiban</v>
          </cell>
          <cell r="C311" t="str">
            <v>Penflufen 13.28% + Trifloxy 13.28% FS</v>
          </cell>
          <cell r="D311" t="str">
            <v>Sushi Xtend</v>
          </cell>
          <cell r="E311" t="str">
            <v>250 ML</v>
          </cell>
          <cell r="F311">
            <v>1725</v>
          </cell>
          <cell r="G311">
            <v>18</v>
          </cell>
          <cell r="H311">
            <v>310.5</v>
          </cell>
          <cell r="I311">
            <v>2035.5</v>
          </cell>
        </row>
        <row r="312">
          <cell r="B312" t="str">
            <v>Ichiban</v>
          </cell>
          <cell r="C312" t="str">
            <v>Penflufen 13.28% + Trifloxy 13.28% FS</v>
          </cell>
          <cell r="D312" t="str">
            <v>Sushi Xtend</v>
          </cell>
          <cell r="E312" t="str">
            <v>100 ML</v>
          </cell>
          <cell r="F312">
            <v>700</v>
          </cell>
          <cell r="G312">
            <v>18</v>
          </cell>
          <cell r="H312">
            <v>126</v>
          </cell>
          <cell r="I312">
            <v>826</v>
          </cell>
        </row>
        <row r="313">
          <cell r="B313" t="str">
            <v>Ichiban</v>
          </cell>
          <cell r="C313" t="str">
            <v>Penflufen 13.28% + Trifloxy 13.28% FS</v>
          </cell>
          <cell r="D313" t="str">
            <v>Sushi Xtend</v>
          </cell>
          <cell r="E313" t="str">
            <v>40 ML</v>
          </cell>
          <cell r="F313">
            <v>284</v>
          </cell>
          <cell r="G313">
            <v>18</v>
          </cell>
          <cell r="H313">
            <v>51.12</v>
          </cell>
          <cell r="I313">
            <v>335.12</v>
          </cell>
        </row>
        <row r="314">
          <cell r="B314" t="str">
            <v>Ichiban</v>
          </cell>
          <cell r="C314" t="str">
            <v>Chlorantraniliprole 50 % FS</v>
          </cell>
          <cell r="D314" t="str">
            <v>Vibe</v>
          </cell>
          <cell r="E314" t="str">
            <v>50 ML</v>
          </cell>
          <cell r="F314">
            <v>900</v>
          </cell>
          <cell r="G314">
            <v>18</v>
          </cell>
          <cell r="H314">
            <v>162</v>
          </cell>
          <cell r="I314">
            <v>1062</v>
          </cell>
        </row>
        <row r="315">
          <cell r="B315" t="str">
            <v>Ichiban</v>
          </cell>
          <cell r="C315" t="str">
            <v>Atrazine 50% WP</v>
          </cell>
          <cell r="D315" t="str">
            <v>Attorney</v>
          </cell>
          <cell r="E315" t="str">
            <v>1000 GMS</v>
          </cell>
          <cell r="F315">
            <v>290</v>
          </cell>
          <cell r="G315">
            <v>18</v>
          </cell>
          <cell r="H315">
            <v>52.199999999999996</v>
          </cell>
          <cell r="I315">
            <v>342.2</v>
          </cell>
        </row>
        <row r="316">
          <cell r="B316" t="str">
            <v>Ichiban</v>
          </cell>
          <cell r="C316" t="str">
            <v>Atrazine 50% WP</v>
          </cell>
          <cell r="D316" t="str">
            <v>Attorney</v>
          </cell>
          <cell r="E316" t="str">
            <v>500 GMS</v>
          </cell>
          <cell r="F316">
            <v>150</v>
          </cell>
          <cell r="G316">
            <v>18</v>
          </cell>
          <cell r="H316">
            <v>27</v>
          </cell>
          <cell r="I316">
            <v>177</v>
          </cell>
        </row>
        <row r="317">
          <cell r="B317" t="str">
            <v>Ichiban</v>
          </cell>
          <cell r="C317" t="str">
            <v>Atrazine 50% WP</v>
          </cell>
          <cell r="D317" t="str">
            <v>Attorney</v>
          </cell>
          <cell r="E317" t="str">
            <v>250 GMS</v>
          </cell>
          <cell r="F317">
            <v>82.5</v>
          </cell>
          <cell r="G317">
            <v>18</v>
          </cell>
          <cell r="H317">
            <v>14.85</v>
          </cell>
          <cell r="I317">
            <v>97.35</v>
          </cell>
        </row>
        <row r="318">
          <cell r="B318" t="str">
            <v>Ichiban</v>
          </cell>
          <cell r="C318" t="str">
            <v>2,4 D Amine Salt 58% SL</v>
          </cell>
          <cell r="D318" t="str">
            <v>Hatori 77</v>
          </cell>
          <cell r="E318" t="str">
            <v>1000 ML</v>
          </cell>
          <cell r="F318">
            <v>265</v>
          </cell>
          <cell r="G318">
            <v>18</v>
          </cell>
          <cell r="H318">
            <v>47.699999999999996</v>
          </cell>
          <cell r="I318">
            <v>312.7</v>
          </cell>
        </row>
        <row r="319">
          <cell r="B319" t="str">
            <v>Ichiban</v>
          </cell>
          <cell r="C319" t="str">
            <v>2,4 D Amine Salt 58% SL</v>
          </cell>
          <cell r="D319" t="str">
            <v>Hatori 77</v>
          </cell>
          <cell r="E319" t="str">
            <v>500 ML</v>
          </cell>
          <cell r="F319">
            <v>140</v>
          </cell>
          <cell r="G319">
            <v>18</v>
          </cell>
          <cell r="H319">
            <v>25.2</v>
          </cell>
          <cell r="I319">
            <v>165.2</v>
          </cell>
        </row>
        <row r="320">
          <cell r="B320" t="str">
            <v>Ichiban</v>
          </cell>
          <cell r="C320" t="str">
            <v>2,4 D Amine Salt 58% SL</v>
          </cell>
          <cell r="D320" t="str">
            <v>Hatori 77</v>
          </cell>
          <cell r="E320" t="str">
            <v>250 ML</v>
          </cell>
          <cell r="F320">
            <v>78.75</v>
          </cell>
          <cell r="G320">
            <v>18</v>
          </cell>
          <cell r="H320">
            <v>14.174999999999999</v>
          </cell>
          <cell r="I320">
            <v>92.924999999999997</v>
          </cell>
        </row>
        <row r="321">
          <cell r="B321" t="str">
            <v>Ichiban</v>
          </cell>
          <cell r="C321" t="str">
            <v>Halosulfuron Methyl 75% WG</v>
          </cell>
          <cell r="D321" t="str">
            <v>Kabila</v>
          </cell>
          <cell r="E321" t="str">
            <v>36 GMS</v>
          </cell>
          <cell r="F321">
            <v>666</v>
          </cell>
          <cell r="G321">
            <v>18</v>
          </cell>
          <cell r="H321">
            <v>119.88</v>
          </cell>
          <cell r="I321">
            <v>785.88</v>
          </cell>
        </row>
        <row r="322">
          <cell r="B322" t="str">
            <v>Ichiban</v>
          </cell>
          <cell r="C322" t="str">
            <v>Halosulfuron Methyl 75% WG</v>
          </cell>
          <cell r="D322" t="str">
            <v>Kabila</v>
          </cell>
          <cell r="E322" t="str">
            <v>18 GMS</v>
          </cell>
          <cell r="F322">
            <v>423</v>
          </cell>
          <cell r="G322">
            <v>18</v>
          </cell>
          <cell r="H322">
            <v>76.14</v>
          </cell>
          <cell r="I322">
            <v>499.14</v>
          </cell>
        </row>
        <row r="323">
          <cell r="B323" t="str">
            <v>Ichiban</v>
          </cell>
          <cell r="C323" t="str">
            <v>Halosulfuron Methyl 75% WG</v>
          </cell>
          <cell r="D323" t="str">
            <v>Kabila</v>
          </cell>
          <cell r="E323" t="str">
            <v>3.6 GMS</v>
          </cell>
          <cell r="F323">
            <v>106.2</v>
          </cell>
          <cell r="G323">
            <v>18</v>
          </cell>
          <cell r="H323">
            <v>19.116</v>
          </cell>
          <cell r="I323">
            <v>125.316</v>
          </cell>
        </row>
        <row r="324">
          <cell r="B324" t="str">
            <v>Ichiban</v>
          </cell>
          <cell r="C324" t="str">
            <v>Tembotrione 34.4% SC</v>
          </cell>
          <cell r="D324" t="str">
            <v>Lockedon</v>
          </cell>
          <cell r="E324" t="str">
            <v>230 ML</v>
          </cell>
          <cell r="F324">
            <v>1161.5</v>
          </cell>
          <cell r="G324">
            <v>18</v>
          </cell>
          <cell r="H324">
            <v>209.07</v>
          </cell>
          <cell r="I324">
            <v>1370.57</v>
          </cell>
        </row>
        <row r="325">
          <cell r="B325" t="str">
            <v>Ichiban</v>
          </cell>
          <cell r="C325" t="str">
            <v>Tembotrione 34.4% SC</v>
          </cell>
          <cell r="D325" t="str">
            <v>Lockedon</v>
          </cell>
          <cell r="E325" t="str">
            <v>115 ML</v>
          </cell>
          <cell r="F325">
            <v>603.75</v>
          </cell>
          <cell r="G325">
            <v>18</v>
          </cell>
          <cell r="H325">
            <v>108.675</v>
          </cell>
          <cell r="I325">
            <v>712.42499999999995</v>
          </cell>
        </row>
        <row r="326">
          <cell r="B326" t="str">
            <v>Ichiban</v>
          </cell>
          <cell r="C326" t="str">
            <v>Tembotrione 34.4% SC</v>
          </cell>
          <cell r="D326" t="str">
            <v>Lockedon</v>
          </cell>
          <cell r="E326" t="str">
            <v>57.5 ML</v>
          </cell>
          <cell r="F326">
            <v>342.13</v>
          </cell>
          <cell r="G326">
            <v>18</v>
          </cell>
          <cell r="H326">
            <v>61.583399999999997</v>
          </cell>
          <cell r="I326">
            <v>403.71339999999998</v>
          </cell>
        </row>
        <row r="327">
          <cell r="B327" t="str">
            <v>Ichiban</v>
          </cell>
          <cell r="C327" t="str">
            <v>Topramezone + Atrazine 300g/l SC</v>
          </cell>
          <cell r="D327" t="str">
            <v>Road Roller</v>
          </cell>
          <cell r="E327" t="str">
            <v>1000 ML</v>
          </cell>
          <cell r="F327">
            <v>1350</v>
          </cell>
          <cell r="G327">
            <v>18</v>
          </cell>
          <cell r="H327">
            <v>243</v>
          </cell>
          <cell r="I327">
            <v>1593</v>
          </cell>
        </row>
        <row r="328">
          <cell r="B328" t="str">
            <v>Ichiban</v>
          </cell>
          <cell r="C328" t="str">
            <v>Topramezone + Atrazine 300g/l SC</v>
          </cell>
          <cell r="D328" t="str">
            <v>Road Roller</v>
          </cell>
          <cell r="E328" t="str">
            <v>500 ML</v>
          </cell>
          <cell r="F328">
            <v>2750</v>
          </cell>
          <cell r="G328">
            <v>18</v>
          </cell>
          <cell r="H328">
            <v>495</v>
          </cell>
          <cell r="I328">
            <v>3245</v>
          </cell>
        </row>
        <row r="329">
          <cell r="B329" t="str">
            <v>Ichiban</v>
          </cell>
          <cell r="C329" t="str">
            <v>Mesotrione 2.27% + Atrazine 22.7% SC</v>
          </cell>
          <cell r="D329" t="str">
            <v>Rundown</v>
          </cell>
          <cell r="E329" t="str">
            <v>1400 ML</v>
          </cell>
          <cell r="F329">
            <v>1085</v>
          </cell>
          <cell r="G329">
            <v>18</v>
          </cell>
          <cell r="H329">
            <v>195.29999999999998</v>
          </cell>
          <cell r="I329">
            <v>1280.3</v>
          </cell>
        </row>
        <row r="330">
          <cell r="B330" t="str">
            <v>Ichiban</v>
          </cell>
          <cell r="C330" t="str">
            <v>Mesotrione 2.27% + Atrazine 22.7% SC</v>
          </cell>
          <cell r="D330" t="str">
            <v>Rundown</v>
          </cell>
          <cell r="E330" t="str">
            <v>700 ML</v>
          </cell>
          <cell r="F330">
            <v>556.5</v>
          </cell>
          <cell r="G330">
            <v>18</v>
          </cell>
          <cell r="H330">
            <v>100.17</v>
          </cell>
          <cell r="I330">
            <v>656.67</v>
          </cell>
        </row>
        <row r="331">
          <cell r="B331" t="str">
            <v>Ichiban</v>
          </cell>
          <cell r="C331" t="str">
            <v>Mesotrione 2.27% + Atrazine 22.7% SC</v>
          </cell>
          <cell r="D331" t="str">
            <v>Rundown</v>
          </cell>
          <cell r="E331" t="str">
            <v>350 ML</v>
          </cell>
          <cell r="F331">
            <v>292.25</v>
          </cell>
          <cell r="G331">
            <v>18</v>
          </cell>
          <cell r="H331">
            <v>52.604999999999997</v>
          </cell>
          <cell r="I331">
            <v>344.85500000000002</v>
          </cell>
        </row>
        <row r="332">
          <cell r="B332" t="str">
            <v>Ichiban</v>
          </cell>
          <cell r="C332" t="str">
            <v>Topramezone 33.6 SC</v>
          </cell>
          <cell r="D332" t="str">
            <v>Dropdown</v>
          </cell>
          <cell r="E332" t="str">
            <v>75 ML</v>
          </cell>
          <cell r="F332">
            <v>1800</v>
          </cell>
          <cell r="G332">
            <v>18</v>
          </cell>
          <cell r="H332">
            <v>324</v>
          </cell>
          <cell r="I332">
            <v>2124</v>
          </cell>
        </row>
        <row r="333">
          <cell r="B333" t="str">
            <v>Ichiban</v>
          </cell>
          <cell r="C333" t="str">
            <v>Topramezone 33.6 SC</v>
          </cell>
          <cell r="D333" t="str">
            <v>Dropdown</v>
          </cell>
          <cell r="E333" t="str">
            <v>30 ML</v>
          </cell>
          <cell r="F333">
            <v>750</v>
          </cell>
          <cell r="G333">
            <v>18</v>
          </cell>
          <cell r="H333">
            <v>135</v>
          </cell>
          <cell r="I333">
            <v>885</v>
          </cell>
        </row>
        <row r="334">
          <cell r="B334" t="str">
            <v>Ichiban</v>
          </cell>
          <cell r="C334" t="str">
            <v>Topramezone 33.6 SC</v>
          </cell>
          <cell r="D334" t="str">
            <v>Dropdown</v>
          </cell>
          <cell r="E334" t="str">
            <v>15 ML</v>
          </cell>
          <cell r="F334">
            <v>405</v>
          </cell>
          <cell r="G334">
            <v>18</v>
          </cell>
          <cell r="H334">
            <v>72.899999999999991</v>
          </cell>
          <cell r="I334">
            <v>477.9</v>
          </cell>
        </row>
        <row r="335">
          <cell r="B335" t="str">
            <v>Ichiban</v>
          </cell>
          <cell r="C335" t="str">
            <v>Ametryne 80% WDG</v>
          </cell>
          <cell r="D335" t="str">
            <v>Assassin</v>
          </cell>
          <cell r="E335" t="str">
            <v>1000 GMS</v>
          </cell>
          <cell r="F335">
            <v>950</v>
          </cell>
          <cell r="G335">
            <v>18</v>
          </cell>
          <cell r="H335">
            <v>171</v>
          </cell>
          <cell r="I335">
            <v>1121</v>
          </cell>
        </row>
        <row r="336">
          <cell r="B336" t="str">
            <v>Ichiban</v>
          </cell>
          <cell r="C336" t="str">
            <v>Ametryne 80% WDG</v>
          </cell>
          <cell r="D336" t="str">
            <v>Assassin</v>
          </cell>
          <cell r="E336" t="str">
            <v>500 GMS</v>
          </cell>
          <cell r="F336">
            <v>482.5</v>
          </cell>
          <cell r="G336">
            <v>18</v>
          </cell>
          <cell r="H336">
            <v>86.85</v>
          </cell>
          <cell r="I336">
            <v>569.35</v>
          </cell>
        </row>
        <row r="337">
          <cell r="B337" t="str">
            <v>Ichiban</v>
          </cell>
          <cell r="C337" t="str">
            <v>Metribuzin 70% WP</v>
          </cell>
          <cell r="D337" t="str">
            <v>Banker</v>
          </cell>
          <cell r="E337" t="str">
            <v>500 GMS</v>
          </cell>
          <cell r="F337">
            <v>570</v>
          </cell>
          <cell r="G337">
            <v>18</v>
          </cell>
          <cell r="H337">
            <v>102.6</v>
          </cell>
          <cell r="I337">
            <v>672.6</v>
          </cell>
        </row>
        <row r="338">
          <cell r="B338" t="str">
            <v>Ichiban</v>
          </cell>
          <cell r="C338" t="str">
            <v>Metribuzin 70% WP</v>
          </cell>
          <cell r="D338" t="str">
            <v>Banker</v>
          </cell>
          <cell r="E338" t="str">
            <v>250 GMS</v>
          </cell>
          <cell r="F338">
            <v>286.25</v>
          </cell>
          <cell r="G338">
            <v>18</v>
          </cell>
          <cell r="H338">
            <v>51.524999999999999</v>
          </cell>
          <cell r="I338">
            <v>337.77499999999998</v>
          </cell>
        </row>
        <row r="339">
          <cell r="B339" t="str">
            <v>Ichiban</v>
          </cell>
          <cell r="C339" t="str">
            <v>Metribuzin 70% WP</v>
          </cell>
          <cell r="D339" t="str">
            <v>Banker</v>
          </cell>
          <cell r="E339" t="str">
            <v>100 GMS</v>
          </cell>
          <cell r="F339">
            <v>115</v>
          </cell>
          <cell r="G339">
            <v>18</v>
          </cell>
          <cell r="H339">
            <v>20.7</v>
          </cell>
          <cell r="I339">
            <v>135.69999999999999</v>
          </cell>
        </row>
        <row r="340">
          <cell r="B340" t="str">
            <v>Ichiban</v>
          </cell>
          <cell r="C340" t="str">
            <v>Halosulfuron methyl 12% + Metribuzin 55% WG</v>
          </cell>
          <cell r="D340" t="str">
            <v>Kasba</v>
          </cell>
          <cell r="E340" t="str">
            <v>400 GMS</v>
          </cell>
          <cell r="F340">
            <v>1400</v>
          </cell>
          <cell r="G340">
            <v>18</v>
          </cell>
          <cell r="H340">
            <v>252</v>
          </cell>
          <cell r="I340">
            <v>1652</v>
          </cell>
        </row>
        <row r="341">
          <cell r="B341" t="str">
            <v>Ichiban</v>
          </cell>
          <cell r="C341" t="str">
            <v>Halosulfuron methyl 12% + Metribuzin 55% WG</v>
          </cell>
          <cell r="D341" t="str">
            <v>Kasba</v>
          </cell>
          <cell r="E341" t="str">
            <v>200 GMS</v>
          </cell>
          <cell r="F341">
            <v>720</v>
          </cell>
          <cell r="G341">
            <v>18</v>
          </cell>
          <cell r="H341">
            <v>129.6</v>
          </cell>
          <cell r="I341">
            <v>849.6</v>
          </cell>
        </row>
        <row r="342">
          <cell r="B342" t="str">
            <v>Ichiban</v>
          </cell>
          <cell r="C342" t="str">
            <v>Diuron 80% WP</v>
          </cell>
          <cell r="D342" t="str">
            <v>Tariff</v>
          </cell>
          <cell r="E342" t="str">
            <v>500 GMS</v>
          </cell>
          <cell r="F342">
            <v>325</v>
          </cell>
          <cell r="G342">
            <v>18</v>
          </cell>
          <cell r="H342">
            <v>58.5</v>
          </cell>
          <cell r="I342">
            <v>383.5</v>
          </cell>
        </row>
        <row r="343">
          <cell r="B343" t="str">
            <v>Ichiban</v>
          </cell>
          <cell r="C343" t="str">
            <v>Glufisonate Ammonium 13.5% SL</v>
          </cell>
          <cell r="D343" t="str">
            <v>Fiori</v>
          </cell>
          <cell r="E343" t="str">
            <v>5000 ML</v>
          </cell>
          <cell r="F343">
            <v>1875</v>
          </cell>
          <cell r="G343">
            <v>18</v>
          </cell>
          <cell r="H343">
            <v>337.5</v>
          </cell>
          <cell r="I343">
            <v>2212.5</v>
          </cell>
        </row>
        <row r="344">
          <cell r="B344" t="str">
            <v>Ichiban</v>
          </cell>
          <cell r="C344" t="str">
            <v>Glufisonate Ammonium 13.5% SL</v>
          </cell>
          <cell r="D344" t="str">
            <v>Fiori</v>
          </cell>
          <cell r="E344" t="str">
            <v>1000 ML</v>
          </cell>
          <cell r="F344">
            <v>380</v>
          </cell>
          <cell r="G344">
            <v>18</v>
          </cell>
          <cell r="H344">
            <v>68.399999999999991</v>
          </cell>
          <cell r="I344">
            <v>448.4</v>
          </cell>
        </row>
        <row r="345">
          <cell r="B345" t="str">
            <v>Ichiban</v>
          </cell>
          <cell r="C345" t="str">
            <v>Glufisonate Ammonium 13.5% SL</v>
          </cell>
          <cell r="D345" t="str">
            <v>Fiori</v>
          </cell>
          <cell r="E345" t="str">
            <v>500 ML</v>
          </cell>
          <cell r="F345">
            <v>197.5</v>
          </cell>
          <cell r="G345">
            <v>18</v>
          </cell>
          <cell r="H345">
            <v>35.549999999999997</v>
          </cell>
          <cell r="I345">
            <v>233.05</v>
          </cell>
        </row>
        <row r="346">
          <cell r="B346" t="str">
            <v>Ichiban</v>
          </cell>
          <cell r="C346" t="str">
            <v>Glyphosate 41% SL</v>
          </cell>
          <cell r="D346" t="str">
            <v>Godzilla</v>
          </cell>
          <cell r="E346" t="str">
            <v>20000 ML</v>
          </cell>
          <cell r="F346">
            <v>5980</v>
          </cell>
          <cell r="G346">
            <v>18</v>
          </cell>
          <cell r="H346">
            <v>1076.3999999999999</v>
          </cell>
          <cell r="I346">
            <v>7056.4</v>
          </cell>
        </row>
        <row r="347">
          <cell r="B347" t="str">
            <v>Ichiban</v>
          </cell>
          <cell r="C347" t="str">
            <v>Glyphosate 41% SL</v>
          </cell>
          <cell r="D347" t="str">
            <v>Godzilla</v>
          </cell>
          <cell r="E347" t="str">
            <v>5000 ML</v>
          </cell>
          <cell r="F347">
            <v>1520</v>
          </cell>
          <cell r="G347">
            <v>18</v>
          </cell>
          <cell r="H347">
            <v>273.59999999999997</v>
          </cell>
          <cell r="I347">
            <v>1793.6</v>
          </cell>
        </row>
        <row r="348">
          <cell r="B348" t="str">
            <v>Ichiban</v>
          </cell>
          <cell r="C348" t="str">
            <v>Glyphosate 41% SL</v>
          </cell>
          <cell r="D348" t="str">
            <v>Godzilla</v>
          </cell>
          <cell r="E348" t="str">
            <v>1000 ML</v>
          </cell>
          <cell r="F348">
            <v>311</v>
          </cell>
          <cell r="G348">
            <v>18</v>
          </cell>
          <cell r="H348">
            <v>55.98</v>
          </cell>
          <cell r="I348">
            <v>366.98</v>
          </cell>
        </row>
        <row r="349">
          <cell r="B349" t="str">
            <v>Ichiban</v>
          </cell>
          <cell r="C349" t="str">
            <v>Glyphosate 41% SL</v>
          </cell>
          <cell r="D349" t="str">
            <v>Godzilla</v>
          </cell>
          <cell r="E349" t="str">
            <v>500 ML</v>
          </cell>
          <cell r="F349">
            <v>163</v>
          </cell>
          <cell r="G349">
            <v>18</v>
          </cell>
          <cell r="H349">
            <v>29.34</v>
          </cell>
          <cell r="I349">
            <v>192.34</v>
          </cell>
        </row>
        <row r="350">
          <cell r="B350" t="str">
            <v>Ichiban</v>
          </cell>
          <cell r="C350" t="str">
            <v>Glyphosate 41% SL</v>
          </cell>
          <cell r="D350" t="str">
            <v>Godzilla</v>
          </cell>
          <cell r="E350" t="str">
            <v>250 ML</v>
          </cell>
          <cell r="F350">
            <v>90.25</v>
          </cell>
          <cell r="G350">
            <v>18</v>
          </cell>
          <cell r="H350">
            <v>16.245000000000001</v>
          </cell>
          <cell r="I350">
            <v>106.495</v>
          </cell>
        </row>
        <row r="351">
          <cell r="B351" t="str">
            <v>Ichiban</v>
          </cell>
          <cell r="C351" t="str">
            <v>Carfentrazone Ethryl 0.43% + Glyphosate 30.82% EW</v>
          </cell>
          <cell r="D351" t="str">
            <v>Godzilla Super</v>
          </cell>
          <cell r="E351" t="str">
            <v>1000 ML</v>
          </cell>
          <cell r="F351">
            <v>421</v>
          </cell>
          <cell r="G351">
            <v>18</v>
          </cell>
          <cell r="H351">
            <v>75.78</v>
          </cell>
          <cell r="I351">
            <v>496.78</v>
          </cell>
        </row>
        <row r="352">
          <cell r="B352" t="str">
            <v>Ichiban</v>
          </cell>
          <cell r="C352" t="str">
            <v>Glyphosate Amonium salt 71% SG</v>
          </cell>
          <cell r="D352" t="str">
            <v>Menaka 71</v>
          </cell>
          <cell r="E352" t="str">
            <v>1000 GMS</v>
          </cell>
          <cell r="F352">
            <v>455</v>
          </cell>
          <cell r="G352">
            <v>18</v>
          </cell>
          <cell r="H352">
            <v>81.899999999999991</v>
          </cell>
          <cell r="I352">
            <v>536.9</v>
          </cell>
        </row>
        <row r="353">
          <cell r="B353" t="str">
            <v>Ichiban</v>
          </cell>
          <cell r="C353" t="str">
            <v>Glyphosate Amonium salt 71% SG</v>
          </cell>
          <cell r="D353" t="str">
            <v>Menaka 71</v>
          </cell>
          <cell r="E353" t="str">
            <v>500 GMS</v>
          </cell>
          <cell r="F353">
            <v>230</v>
          </cell>
          <cell r="G353">
            <v>18</v>
          </cell>
          <cell r="H353">
            <v>41.4</v>
          </cell>
          <cell r="I353">
            <v>271.39999999999998</v>
          </cell>
        </row>
        <row r="354">
          <cell r="B354" t="str">
            <v>Ichiban</v>
          </cell>
          <cell r="C354" t="str">
            <v>Glyphosate Amonium salt 71% SG</v>
          </cell>
          <cell r="D354" t="str">
            <v>Menaka 71</v>
          </cell>
          <cell r="E354" t="str">
            <v>100 GMS</v>
          </cell>
          <cell r="F354">
            <v>46.5</v>
          </cell>
          <cell r="G354">
            <v>18</v>
          </cell>
          <cell r="H354">
            <v>8.3699999999999992</v>
          </cell>
          <cell r="I354">
            <v>54.87</v>
          </cell>
        </row>
        <row r="355">
          <cell r="B355" t="str">
            <v>Ichiban</v>
          </cell>
          <cell r="C355" t="str">
            <v>Paraquat Dichloride 24% SL</v>
          </cell>
          <cell r="D355" t="str">
            <v>Undertaker</v>
          </cell>
          <cell r="E355" t="str">
            <v>20000 ML</v>
          </cell>
          <cell r="F355">
            <v>4060</v>
          </cell>
          <cell r="G355">
            <v>18</v>
          </cell>
          <cell r="H355">
            <v>730.8</v>
          </cell>
          <cell r="I355">
            <v>4790.8</v>
          </cell>
        </row>
        <row r="356">
          <cell r="B356" t="str">
            <v>Ichiban</v>
          </cell>
          <cell r="C356" t="str">
            <v>Paraquat Dichloride 24% SL</v>
          </cell>
          <cell r="D356" t="str">
            <v>Undertaker</v>
          </cell>
          <cell r="E356" t="str">
            <v>5000 ML</v>
          </cell>
          <cell r="F356">
            <v>1040</v>
          </cell>
          <cell r="G356">
            <v>18</v>
          </cell>
          <cell r="H356">
            <v>187.2</v>
          </cell>
          <cell r="I356">
            <v>1227.2</v>
          </cell>
        </row>
        <row r="357">
          <cell r="B357" t="str">
            <v>Ichiban</v>
          </cell>
          <cell r="C357" t="str">
            <v>Paraquat Dichloride 24% SL</v>
          </cell>
          <cell r="D357" t="str">
            <v>Undertaker</v>
          </cell>
          <cell r="E357" t="str">
            <v>1000 ML</v>
          </cell>
          <cell r="F357">
            <v>215</v>
          </cell>
          <cell r="G357">
            <v>18</v>
          </cell>
          <cell r="H357">
            <v>38.699999999999996</v>
          </cell>
          <cell r="I357">
            <v>253.7</v>
          </cell>
        </row>
        <row r="358">
          <cell r="B358" t="str">
            <v>Ichiban</v>
          </cell>
          <cell r="C358" t="str">
            <v>Paraquat Dichloride 24% SL</v>
          </cell>
          <cell r="D358" t="str">
            <v>Undertaker</v>
          </cell>
          <cell r="E358" t="str">
            <v>500 ML</v>
          </cell>
          <cell r="F358">
            <v>115</v>
          </cell>
          <cell r="G358">
            <v>18</v>
          </cell>
          <cell r="H358">
            <v>20.7</v>
          </cell>
          <cell r="I358">
            <v>135.69999999999999</v>
          </cell>
        </row>
        <row r="359">
          <cell r="B359" t="str">
            <v>Ichiban</v>
          </cell>
          <cell r="C359" t="str">
            <v>Paraquat Dichloride 24% SL</v>
          </cell>
          <cell r="D359" t="str">
            <v>Undertaker</v>
          </cell>
          <cell r="E359" t="str">
            <v>250 ML</v>
          </cell>
          <cell r="F359">
            <v>66.25</v>
          </cell>
          <cell r="G359">
            <v>18</v>
          </cell>
          <cell r="H359">
            <v>11.924999999999999</v>
          </cell>
          <cell r="I359">
            <v>78.174999999999997</v>
          </cell>
        </row>
        <row r="360">
          <cell r="B360" t="str">
            <v>Ichiban</v>
          </cell>
          <cell r="C360" t="str">
            <v>Pendimethalin 30% EC</v>
          </cell>
          <cell r="D360" t="str">
            <v>Garzan</v>
          </cell>
          <cell r="E360" t="str">
            <v>1000 ML</v>
          </cell>
          <cell r="F360">
            <v>311</v>
          </cell>
          <cell r="G360">
            <v>18</v>
          </cell>
          <cell r="H360">
            <v>55.98</v>
          </cell>
          <cell r="I360">
            <v>366.98</v>
          </cell>
        </row>
        <row r="361">
          <cell r="B361" t="str">
            <v>Ichiban</v>
          </cell>
          <cell r="C361" t="str">
            <v>Pendimethalin 30% EC</v>
          </cell>
          <cell r="D361" t="str">
            <v>Garzan</v>
          </cell>
          <cell r="E361" t="str">
            <v>500 ML</v>
          </cell>
          <cell r="F361">
            <v>163</v>
          </cell>
          <cell r="G361">
            <v>18</v>
          </cell>
          <cell r="H361">
            <v>29.34</v>
          </cell>
          <cell r="I361">
            <v>192.34</v>
          </cell>
        </row>
        <row r="362">
          <cell r="B362" t="str">
            <v>Ichiban</v>
          </cell>
          <cell r="C362" t="str">
            <v>Pendimethalin 30% EC</v>
          </cell>
          <cell r="D362" t="str">
            <v>Garzan</v>
          </cell>
          <cell r="E362" t="str">
            <v>250 ML</v>
          </cell>
          <cell r="F362">
            <v>90.25</v>
          </cell>
          <cell r="G362">
            <v>18</v>
          </cell>
          <cell r="H362">
            <v>16.245000000000001</v>
          </cell>
          <cell r="I362">
            <v>106.495</v>
          </cell>
        </row>
        <row r="363">
          <cell r="B363" t="str">
            <v>Ichiban</v>
          </cell>
          <cell r="C363" t="str">
            <v>Oxyfluorfen 23.5% EC</v>
          </cell>
          <cell r="D363" t="str">
            <v>Osaka</v>
          </cell>
          <cell r="E363" t="str">
            <v>1000 ML</v>
          </cell>
          <cell r="F363">
            <v>875</v>
          </cell>
          <cell r="G363">
            <v>18</v>
          </cell>
          <cell r="H363">
            <v>157.5</v>
          </cell>
          <cell r="I363">
            <v>1032.5</v>
          </cell>
        </row>
        <row r="364">
          <cell r="B364" t="str">
            <v>Ichiban</v>
          </cell>
          <cell r="C364" t="str">
            <v>Oxyfluorfen 23.5% EC</v>
          </cell>
          <cell r="D364" t="str">
            <v>Osaka</v>
          </cell>
          <cell r="E364" t="str">
            <v>500 ML</v>
          </cell>
          <cell r="F364">
            <v>447.5</v>
          </cell>
          <cell r="G364">
            <v>18</v>
          </cell>
          <cell r="H364">
            <v>80.55</v>
          </cell>
          <cell r="I364">
            <v>528.04999999999995</v>
          </cell>
        </row>
        <row r="365">
          <cell r="B365" t="str">
            <v>Ichiban</v>
          </cell>
          <cell r="C365" t="str">
            <v>Oxyfluorfen 23.5% EC</v>
          </cell>
          <cell r="D365" t="str">
            <v>Osaka</v>
          </cell>
          <cell r="E365" t="str">
            <v>250 ML</v>
          </cell>
          <cell r="F365">
            <v>233.75</v>
          </cell>
          <cell r="G365">
            <v>18</v>
          </cell>
          <cell r="H365">
            <v>42.074999999999996</v>
          </cell>
          <cell r="I365">
            <v>275.82499999999999</v>
          </cell>
        </row>
        <row r="366">
          <cell r="B366" t="str">
            <v>Ichiban</v>
          </cell>
          <cell r="C366" t="str">
            <v>Oxyfluorfen 23.5% EC</v>
          </cell>
          <cell r="D366" t="str">
            <v>Osaka</v>
          </cell>
          <cell r="E366" t="str">
            <v>100 ML</v>
          </cell>
          <cell r="F366">
            <v>100</v>
          </cell>
          <cell r="G366">
            <v>18</v>
          </cell>
          <cell r="H366">
            <v>18</v>
          </cell>
          <cell r="I366">
            <v>118</v>
          </cell>
        </row>
        <row r="367">
          <cell r="B367" t="str">
            <v>Ichiban</v>
          </cell>
          <cell r="C367" t="str">
            <v>Oxyfluorfen 23.5% EC</v>
          </cell>
          <cell r="D367" t="str">
            <v>Osaka</v>
          </cell>
          <cell r="E367" t="str">
            <v>50 ML</v>
          </cell>
          <cell r="F367">
            <v>51.25</v>
          </cell>
          <cell r="G367">
            <v>18</v>
          </cell>
          <cell r="H367">
            <v>9.2249999999999996</v>
          </cell>
          <cell r="I367">
            <v>60.475000000000001</v>
          </cell>
        </row>
        <row r="368">
          <cell r="B368" t="str">
            <v>Ichiban</v>
          </cell>
          <cell r="C368" t="str">
            <v>Propaquizafop 5% + Oxyfluorfen 12% EC</v>
          </cell>
          <cell r="D368" t="str">
            <v>Osaka super</v>
          </cell>
          <cell r="E368" t="str">
            <v>1000 ML</v>
          </cell>
          <cell r="F368">
            <v>1100</v>
          </cell>
          <cell r="G368">
            <v>18</v>
          </cell>
          <cell r="H368">
            <v>198</v>
          </cell>
          <cell r="I368">
            <v>1298</v>
          </cell>
        </row>
        <row r="369">
          <cell r="B369" t="str">
            <v>Ichiban</v>
          </cell>
          <cell r="C369" t="str">
            <v>Propaquizafop 5% + Oxyfluorfen 12% EC</v>
          </cell>
          <cell r="D369" t="str">
            <v>Osaka super</v>
          </cell>
          <cell r="E369" t="str">
            <v>500 ML</v>
          </cell>
          <cell r="F369">
            <v>562.5</v>
          </cell>
          <cell r="G369">
            <v>18</v>
          </cell>
          <cell r="H369">
            <v>101.25</v>
          </cell>
          <cell r="I369">
            <v>663.75</v>
          </cell>
        </row>
        <row r="370">
          <cell r="B370" t="str">
            <v>Ichiban</v>
          </cell>
          <cell r="C370" t="str">
            <v>Propaquizafop 5% + Oxyfluorfen 12% EC</v>
          </cell>
          <cell r="D370" t="str">
            <v>Osaka super</v>
          </cell>
          <cell r="E370" t="str">
            <v>350 ML</v>
          </cell>
          <cell r="F370">
            <v>411.25</v>
          </cell>
          <cell r="G370">
            <v>18</v>
          </cell>
          <cell r="H370">
            <v>74.024999999999991</v>
          </cell>
          <cell r="I370">
            <v>485.27499999999998</v>
          </cell>
        </row>
        <row r="371">
          <cell r="B371" t="str">
            <v>Ichiban</v>
          </cell>
          <cell r="C371" t="str">
            <v>Propaquizafop 5% + Oxyfluorfen 12% EC</v>
          </cell>
          <cell r="D371" t="str">
            <v>Osaka super</v>
          </cell>
          <cell r="E371" t="str">
            <v>100 ML</v>
          </cell>
          <cell r="F371">
            <v>125</v>
          </cell>
          <cell r="G371">
            <v>18</v>
          </cell>
          <cell r="H371">
            <v>22.5</v>
          </cell>
          <cell r="I371">
            <v>147.5</v>
          </cell>
        </row>
        <row r="372">
          <cell r="B372" t="str">
            <v>Ichiban</v>
          </cell>
          <cell r="C372" t="str">
            <v>Metalochlor 50% EC</v>
          </cell>
          <cell r="D372" t="str">
            <v>Ichikill</v>
          </cell>
          <cell r="E372" t="str">
            <v>1000 ML</v>
          </cell>
          <cell r="F372">
            <v>475</v>
          </cell>
          <cell r="G372">
            <v>18</v>
          </cell>
          <cell r="H372">
            <v>85.5</v>
          </cell>
          <cell r="I372">
            <v>560.5</v>
          </cell>
        </row>
        <row r="373">
          <cell r="B373" t="str">
            <v>Ichiban</v>
          </cell>
          <cell r="C373" t="str">
            <v>Metalochlor 50% EC</v>
          </cell>
          <cell r="D373" t="str">
            <v>Ichikill</v>
          </cell>
          <cell r="E373" t="str">
            <v>500 ML</v>
          </cell>
          <cell r="F373">
            <v>245</v>
          </cell>
          <cell r="G373">
            <v>18</v>
          </cell>
          <cell r="H373">
            <v>44.1</v>
          </cell>
          <cell r="I373">
            <v>289.10000000000002</v>
          </cell>
        </row>
        <row r="374">
          <cell r="B374" t="str">
            <v>Ichiban</v>
          </cell>
          <cell r="C374" t="str">
            <v>Sulfentrazone 39.6% SC</v>
          </cell>
          <cell r="D374" t="str">
            <v>Sindoor</v>
          </cell>
          <cell r="E374" t="str">
            <v>600 ML</v>
          </cell>
          <cell r="F374">
            <v>1410</v>
          </cell>
          <cell r="G374">
            <v>18</v>
          </cell>
          <cell r="H374">
            <v>253.79999999999998</v>
          </cell>
          <cell r="I374">
            <v>1663.8</v>
          </cell>
        </row>
        <row r="375">
          <cell r="B375" t="str">
            <v>Ichiban</v>
          </cell>
          <cell r="C375" t="str">
            <v>Sulfentrazone 39.6% SC</v>
          </cell>
          <cell r="D375" t="str">
            <v>Sindoor</v>
          </cell>
          <cell r="E375" t="str">
            <v>300 ML</v>
          </cell>
          <cell r="F375">
            <v>735</v>
          </cell>
          <cell r="G375">
            <v>18</v>
          </cell>
          <cell r="H375">
            <v>132.29999999999998</v>
          </cell>
          <cell r="I375">
            <v>867.3</v>
          </cell>
        </row>
        <row r="376">
          <cell r="B376" t="str">
            <v>Ichiban</v>
          </cell>
          <cell r="C376" t="str">
            <v>Sulfentrazone 39.6% SC</v>
          </cell>
          <cell r="D376" t="str">
            <v>Sindoor</v>
          </cell>
          <cell r="E376" t="str">
            <v>250 ML</v>
          </cell>
          <cell r="F376">
            <v>612.5</v>
          </cell>
          <cell r="G376">
            <v>18</v>
          </cell>
          <cell r="H376">
            <v>110.25</v>
          </cell>
          <cell r="I376">
            <v>722.75</v>
          </cell>
        </row>
        <row r="377">
          <cell r="B377" t="str">
            <v>Ichiban</v>
          </cell>
          <cell r="C377" t="str">
            <v>Sulfentrazone 39.6% SC</v>
          </cell>
          <cell r="D377" t="str">
            <v>Sindoor</v>
          </cell>
          <cell r="E377" t="str">
            <v>100 ML</v>
          </cell>
          <cell r="F377">
            <v>255</v>
          </cell>
          <cell r="G377">
            <v>18</v>
          </cell>
          <cell r="H377">
            <v>45.9</v>
          </cell>
          <cell r="I377">
            <v>300.89999999999998</v>
          </cell>
        </row>
        <row r="378">
          <cell r="B378" t="str">
            <v>Ichiban</v>
          </cell>
          <cell r="C378" t="str">
            <v>Sulfentrazone 39.6% SC</v>
          </cell>
          <cell r="D378" t="str">
            <v>Sindoor</v>
          </cell>
          <cell r="E378" t="str">
            <v>50 ML</v>
          </cell>
          <cell r="F378">
            <v>132.5</v>
          </cell>
          <cell r="G378">
            <v>18</v>
          </cell>
          <cell r="H378">
            <v>23.849999999999998</v>
          </cell>
          <cell r="I378">
            <v>156.35</v>
          </cell>
        </row>
        <row r="379">
          <cell r="B379" t="str">
            <v>Ichiban</v>
          </cell>
          <cell r="C379" t="str">
            <v>Cyhalofop Butyl 10 % EC</v>
          </cell>
          <cell r="D379" t="str">
            <v>Ceremony</v>
          </cell>
          <cell r="E379" t="str">
            <v>1000 ML</v>
          </cell>
          <cell r="F379">
            <v>1350</v>
          </cell>
          <cell r="G379">
            <v>18</v>
          </cell>
          <cell r="H379">
            <v>243</v>
          </cell>
          <cell r="I379">
            <v>1593</v>
          </cell>
        </row>
        <row r="380">
          <cell r="B380" t="str">
            <v>Ichiban</v>
          </cell>
          <cell r="C380" t="str">
            <v>Cyhalofop Butyl 10 % EC</v>
          </cell>
          <cell r="D380" t="str">
            <v>Ceremony</v>
          </cell>
          <cell r="E380" t="str">
            <v>500 ML</v>
          </cell>
          <cell r="F380">
            <v>687.5</v>
          </cell>
          <cell r="G380">
            <v>18</v>
          </cell>
          <cell r="H380">
            <v>123.75</v>
          </cell>
          <cell r="I380">
            <v>811.25</v>
          </cell>
        </row>
        <row r="381">
          <cell r="B381" t="str">
            <v>Ichiban</v>
          </cell>
          <cell r="C381" t="str">
            <v>Cyhalofop Butyl 10 % EC</v>
          </cell>
          <cell r="D381" t="str">
            <v>Ceremony</v>
          </cell>
          <cell r="E381" t="str">
            <v>250 ML</v>
          </cell>
          <cell r="F381">
            <v>356.25</v>
          </cell>
          <cell r="G381">
            <v>18</v>
          </cell>
          <cell r="H381">
            <v>64.125</v>
          </cell>
          <cell r="I381">
            <v>420.375</v>
          </cell>
        </row>
        <row r="382">
          <cell r="B382" t="str">
            <v>Ichiban</v>
          </cell>
          <cell r="C382" t="str">
            <v>Cyhalofop Butyl 10 % EC</v>
          </cell>
          <cell r="D382" t="str">
            <v>Ceremony</v>
          </cell>
          <cell r="E382" t="str">
            <v>100 ML</v>
          </cell>
          <cell r="F382">
            <v>150</v>
          </cell>
          <cell r="G382">
            <v>18</v>
          </cell>
          <cell r="H382">
            <v>27</v>
          </cell>
          <cell r="I382">
            <v>177</v>
          </cell>
        </row>
        <row r="383">
          <cell r="B383" t="str">
            <v>Ichiban</v>
          </cell>
          <cell r="C383" t="str">
            <v>Penoxulam 2.67% OD</v>
          </cell>
          <cell r="D383" t="str">
            <v>Einstein</v>
          </cell>
          <cell r="E383" t="str">
            <v>1000 ML</v>
          </cell>
          <cell r="F383">
            <v>1175</v>
          </cell>
          <cell r="G383">
            <v>18</v>
          </cell>
          <cell r="H383">
            <v>211.5</v>
          </cell>
          <cell r="I383">
            <v>1386.5</v>
          </cell>
        </row>
        <row r="384">
          <cell r="B384" t="str">
            <v>Ichiban</v>
          </cell>
          <cell r="C384" t="str">
            <v>Penoxulam 2.67% OD</v>
          </cell>
          <cell r="D384" t="str">
            <v>Einstein</v>
          </cell>
          <cell r="E384" t="str">
            <v>400 ML</v>
          </cell>
          <cell r="F384">
            <v>480</v>
          </cell>
          <cell r="G384">
            <v>18</v>
          </cell>
          <cell r="H384">
            <v>86.399999999999991</v>
          </cell>
          <cell r="I384">
            <v>566.4</v>
          </cell>
        </row>
        <row r="385">
          <cell r="B385" t="str">
            <v>Ichiban</v>
          </cell>
          <cell r="C385" t="str">
            <v>Penoxulam 2.67% OD</v>
          </cell>
          <cell r="D385" t="str">
            <v>Einstein</v>
          </cell>
          <cell r="E385" t="str">
            <v>200 ML</v>
          </cell>
          <cell r="F385">
            <v>250</v>
          </cell>
          <cell r="G385">
            <v>18</v>
          </cell>
          <cell r="H385">
            <v>45</v>
          </cell>
          <cell r="I385">
            <v>295</v>
          </cell>
        </row>
        <row r="386">
          <cell r="B386" t="str">
            <v>Ichiban</v>
          </cell>
          <cell r="C386" t="str">
            <v>Cyhalofop Butyl 5.1% + Penoxsulam 1.02% OD</v>
          </cell>
          <cell r="D386" t="str">
            <v>Einstein super</v>
          </cell>
          <cell r="E386" t="str">
            <v>1000 ML</v>
          </cell>
          <cell r="F386">
            <v>900</v>
          </cell>
          <cell r="G386">
            <v>18</v>
          </cell>
          <cell r="H386">
            <v>162</v>
          </cell>
          <cell r="I386">
            <v>1062</v>
          </cell>
        </row>
        <row r="387">
          <cell r="B387" t="str">
            <v>Ichiban</v>
          </cell>
          <cell r="C387" t="str">
            <v>Cyhalofop Butyl 5.1% + Penoxsulam 1.02% OD</v>
          </cell>
          <cell r="D387" t="str">
            <v>Einstein super</v>
          </cell>
          <cell r="E387" t="str">
            <v>500 ML</v>
          </cell>
          <cell r="F387">
            <v>460</v>
          </cell>
          <cell r="G387">
            <v>18</v>
          </cell>
          <cell r="H387">
            <v>82.8</v>
          </cell>
          <cell r="I387">
            <v>542.79999999999995</v>
          </cell>
        </row>
        <row r="388">
          <cell r="B388" t="str">
            <v>Ichiban</v>
          </cell>
          <cell r="C388" t="str">
            <v>Propanil 80% DF</v>
          </cell>
          <cell r="D388" t="str">
            <v>Hatori super</v>
          </cell>
          <cell r="E388" t="str">
            <v>1000 GMS</v>
          </cell>
          <cell r="F388">
            <v>615</v>
          </cell>
          <cell r="G388">
            <v>18</v>
          </cell>
          <cell r="H388">
            <v>110.7</v>
          </cell>
          <cell r="I388">
            <v>725.7</v>
          </cell>
        </row>
        <row r="389">
          <cell r="B389" t="str">
            <v>Ichiban</v>
          </cell>
          <cell r="C389" t="str">
            <v>Pretilachlor 50% EC</v>
          </cell>
          <cell r="D389" t="str">
            <v>Hobbit</v>
          </cell>
          <cell r="E389" t="str">
            <v>5000 ML</v>
          </cell>
          <cell r="F389">
            <v>2100</v>
          </cell>
          <cell r="G389">
            <v>18</v>
          </cell>
          <cell r="H389">
            <v>378</v>
          </cell>
          <cell r="I389">
            <v>2478</v>
          </cell>
        </row>
        <row r="390">
          <cell r="B390" t="str">
            <v>Ichiban</v>
          </cell>
          <cell r="C390" t="str">
            <v>Pretilachlor 50% EC</v>
          </cell>
          <cell r="D390" t="str">
            <v>Hobbit</v>
          </cell>
          <cell r="E390" t="str">
            <v>1000 ML</v>
          </cell>
          <cell r="F390">
            <v>425</v>
          </cell>
          <cell r="G390">
            <v>18</v>
          </cell>
          <cell r="H390">
            <v>76.5</v>
          </cell>
          <cell r="I390">
            <v>501.5</v>
          </cell>
        </row>
        <row r="391">
          <cell r="B391" t="str">
            <v>Ichiban</v>
          </cell>
          <cell r="C391" t="str">
            <v>Pretilachlor 50% EC</v>
          </cell>
          <cell r="D391" t="str">
            <v>Hobbit</v>
          </cell>
          <cell r="E391" t="str">
            <v>500 ML</v>
          </cell>
          <cell r="F391">
            <v>220</v>
          </cell>
          <cell r="G391">
            <v>18</v>
          </cell>
          <cell r="H391">
            <v>39.6</v>
          </cell>
          <cell r="I391">
            <v>259.60000000000002</v>
          </cell>
        </row>
        <row r="392">
          <cell r="B392" t="str">
            <v>Ichiban</v>
          </cell>
          <cell r="C392" t="str">
            <v>Pretilachlor 50% EC</v>
          </cell>
          <cell r="D392" t="str">
            <v>Hobbit</v>
          </cell>
          <cell r="E392" t="str">
            <v>250 ML</v>
          </cell>
          <cell r="F392">
            <v>118.75</v>
          </cell>
          <cell r="G392">
            <v>18</v>
          </cell>
          <cell r="H392">
            <v>21.375</v>
          </cell>
          <cell r="I392">
            <v>140.125</v>
          </cell>
        </row>
        <row r="393">
          <cell r="B393" t="str">
            <v>Ichiban</v>
          </cell>
          <cell r="C393" t="str">
            <v>Pretilachlor 50% EC</v>
          </cell>
          <cell r="D393" t="str">
            <v>Hobbit</v>
          </cell>
          <cell r="E393" t="str">
            <v>100 ML</v>
          </cell>
          <cell r="F393">
            <v>52.5</v>
          </cell>
          <cell r="G393">
            <v>18</v>
          </cell>
          <cell r="H393">
            <v>9.4499999999999993</v>
          </cell>
          <cell r="I393">
            <v>61.95</v>
          </cell>
        </row>
        <row r="394">
          <cell r="B394" t="str">
            <v>Ichiban</v>
          </cell>
          <cell r="C394" t="str">
            <v>Pretilachlor 37% EW</v>
          </cell>
          <cell r="D394" t="str">
            <v>Hobbit h2o</v>
          </cell>
          <cell r="E394" t="str">
            <v>3000 ML</v>
          </cell>
          <cell r="F394">
            <v>1125</v>
          </cell>
          <cell r="G394">
            <v>18</v>
          </cell>
          <cell r="H394">
            <v>202.5</v>
          </cell>
          <cell r="I394">
            <v>1327.5</v>
          </cell>
        </row>
        <row r="395">
          <cell r="B395" t="str">
            <v>Ichiban</v>
          </cell>
          <cell r="C395" t="str">
            <v>Pretilachlor 37% EW</v>
          </cell>
          <cell r="D395" t="str">
            <v>Hobbit h2o</v>
          </cell>
          <cell r="E395" t="str">
            <v>600 ML</v>
          </cell>
          <cell r="F395">
            <v>228</v>
          </cell>
          <cell r="G395">
            <v>18</v>
          </cell>
          <cell r="H395">
            <v>41.04</v>
          </cell>
          <cell r="I395">
            <v>269.04000000000002</v>
          </cell>
        </row>
        <row r="396">
          <cell r="B396" t="str">
            <v>Ichiban</v>
          </cell>
          <cell r="C396" t="str">
            <v>Pretilachlor 37% EW</v>
          </cell>
          <cell r="D396" t="str">
            <v>Hobbit h2o</v>
          </cell>
          <cell r="E396" t="str">
            <v>250 ML</v>
          </cell>
          <cell r="F396">
            <v>101.25</v>
          </cell>
          <cell r="G396">
            <v>18</v>
          </cell>
          <cell r="H396">
            <v>18.224999999999998</v>
          </cell>
          <cell r="I396">
            <v>119.47499999999999</v>
          </cell>
        </row>
        <row r="397">
          <cell r="B397" t="str">
            <v>Ichiban</v>
          </cell>
          <cell r="C397" t="str">
            <v>Met 10% + Chlori 10%</v>
          </cell>
          <cell r="D397" t="str">
            <v>Jitsu</v>
          </cell>
          <cell r="E397" t="str">
            <v>8 GMS</v>
          </cell>
          <cell r="F397">
            <v>45</v>
          </cell>
          <cell r="G397">
            <v>18</v>
          </cell>
          <cell r="H397">
            <v>8.1</v>
          </cell>
          <cell r="I397">
            <v>53.1</v>
          </cell>
        </row>
        <row r="398">
          <cell r="B398" t="str">
            <v>Ichiban</v>
          </cell>
          <cell r="C398" t="str">
            <v>Penoxulam 0.97% + Butachlor 38.8% SE</v>
          </cell>
          <cell r="D398" t="str">
            <v>Sangria</v>
          </cell>
          <cell r="E398" t="str">
            <v>800 ML</v>
          </cell>
          <cell r="F398">
            <v>480</v>
          </cell>
          <cell r="G398">
            <v>18</v>
          </cell>
          <cell r="H398">
            <v>86.399999999999991</v>
          </cell>
          <cell r="I398">
            <v>566.4</v>
          </cell>
        </row>
        <row r="399">
          <cell r="B399" t="str">
            <v>Ichiban</v>
          </cell>
          <cell r="C399" t="str">
            <v>Pyrazosulfuron Ethyl 10% WP</v>
          </cell>
          <cell r="D399" t="str">
            <v>Sansani</v>
          </cell>
          <cell r="E399" t="str">
            <v>80 GMS</v>
          </cell>
          <cell r="F399">
            <v>72</v>
          </cell>
          <cell r="G399">
            <v>18</v>
          </cell>
          <cell r="H399">
            <v>12.959999999999999</v>
          </cell>
          <cell r="I399">
            <v>84.96</v>
          </cell>
        </row>
        <row r="400">
          <cell r="B400" t="str">
            <v>Ichiban</v>
          </cell>
          <cell r="C400" t="str">
            <v>Pyrazosulfuron Ethyl 10% WP</v>
          </cell>
          <cell r="D400" t="str">
            <v>Sansani</v>
          </cell>
          <cell r="E400" t="str">
            <v>20 GMS</v>
          </cell>
          <cell r="F400">
            <v>21</v>
          </cell>
          <cell r="G400">
            <v>18</v>
          </cell>
          <cell r="H400">
            <v>3.78</v>
          </cell>
          <cell r="I400">
            <v>24.78</v>
          </cell>
        </row>
        <row r="401">
          <cell r="B401" t="str">
            <v>Ichiban</v>
          </cell>
          <cell r="C401" t="str">
            <v>Pretilachlor 6%+Bensulfuron 0.6% GR</v>
          </cell>
          <cell r="D401" t="str">
            <v>Street fighter</v>
          </cell>
          <cell r="E401" t="str">
            <v>4000 GMS</v>
          </cell>
          <cell r="F401">
            <v>564</v>
          </cell>
          <cell r="G401">
            <v>18</v>
          </cell>
          <cell r="H401">
            <v>101.52</v>
          </cell>
          <cell r="I401">
            <v>665.52</v>
          </cell>
        </row>
        <row r="402">
          <cell r="B402" t="str">
            <v>Ichiban</v>
          </cell>
          <cell r="C402" t="str">
            <v>Bispyribac Sodium 10% SC</v>
          </cell>
          <cell r="D402" t="str">
            <v>Zenbu</v>
          </cell>
          <cell r="E402" t="str">
            <v>1000 ML</v>
          </cell>
          <cell r="F402">
            <v>1125</v>
          </cell>
          <cell r="G402">
            <v>18</v>
          </cell>
          <cell r="H402">
            <v>202.5</v>
          </cell>
          <cell r="I402">
            <v>1327.5</v>
          </cell>
        </row>
        <row r="403">
          <cell r="B403" t="str">
            <v>Ichiban</v>
          </cell>
          <cell r="C403" t="str">
            <v>Bispyribac Sodium 10% SC</v>
          </cell>
          <cell r="D403" t="str">
            <v>Zenbu</v>
          </cell>
          <cell r="E403" t="str">
            <v>500 ML</v>
          </cell>
          <cell r="F403">
            <v>575</v>
          </cell>
          <cell r="G403">
            <v>18</v>
          </cell>
          <cell r="H403">
            <v>103.5</v>
          </cell>
          <cell r="I403">
            <v>678.5</v>
          </cell>
        </row>
        <row r="404">
          <cell r="B404" t="str">
            <v>Ichiban</v>
          </cell>
          <cell r="C404" t="str">
            <v>Bispyribac Sodium 10% SC</v>
          </cell>
          <cell r="D404" t="str">
            <v>Zenbu</v>
          </cell>
          <cell r="E404" t="str">
            <v>200 ML</v>
          </cell>
          <cell r="F404">
            <v>240</v>
          </cell>
          <cell r="G404">
            <v>18</v>
          </cell>
          <cell r="H404">
            <v>43.199999999999996</v>
          </cell>
          <cell r="I404">
            <v>283.2</v>
          </cell>
        </row>
        <row r="405">
          <cell r="B405" t="str">
            <v>Ichiban</v>
          </cell>
          <cell r="C405" t="str">
            <v>Bispyribac Sodium 10% SC</v>
          </cell>
          <cell r="D405" t="str">
            <v>Zenbu</v>
          </cell>
          <cell r="E405" t="str">
            <v>100 ML</v>
          </cell>
          <cell r="F405">
            <v>127.5</v>
          </cell>
          <cell r="G405">
            <v>18</v>
          </cell>
          <cell r="H405">
            <v>22.95</v>
          </cell>
          <cell r="I405">
            <v>150.44999999999999</v>
          </cell>
        </row>
        <row r="406">
          <cell r="B406" t="str">
            <v>Ichiban</v>
          </cell>
          <cell r="C406" t="str">
            <v>Bispyribac Sodium 10% SC</v>
          </cell>
          <cell r="D406" t="str">
            <v>Zenbu</v>
          </cell>
          <cell r="E406" t="str">
            <v>50 ML</v>
          </cell>
          <cell r="F406">
            <v>65</v>
          </cell>
          <cell r="G406">
            <v>18</v>
          </cell>
          <cell r="H406">
            <v>11.7</v>
          </cell>
          <cell r="I406">
            <v>76.7</v>
          </cell>
        </row>
        <row r="407">
          <cell r="B407" t="str">
            <v>Ichiban</v>
          </cell>
          <cell r="C407" t="str">
            <v>Bispyribac Sodium 10% SC</v>
          </cell>
          <cell r="D407" t="str">
            <v>Zenbu</v>
          </cell>
          <cell r="E407" t="str">
            <v>10 ML</v>
          </cell>
          <cell r="F407">
            <v>15.25</v>
          </cell>
          <cell r="G407">
            <v>18</v>
          </cell>
          <cell r="H407">
            <v>2.7450000000000001</v>
          </cell>
          <cell r="I407">
            <v>17.995000000000001</v>
          </cell>
        </row>
        <row r="408">
          <cell r="B408" t="str">
            <v>Ichiban</v>
          </cell>
          <cell r="C408" t="str">
            <v>Pyrithiobac Sodium 10% SC</v>
          </cell>
          <cell r="D408" t="str">
            <v>Hichki</v>
          </cell>
          <cell r="E408" t="str">
            <v>1000 ML</v>
          </cell>
          <cell r="F408">
            <v>2200</v>
          </cell>
          <cell r="G408">
            <v>18</v>
          </cell>
          <cell r="H408">
            <v>396</v>
          </cell>
          <cell r="I408">
            <v>2596</v>
          </cell>
        </row>
        <row r="409">
          <cell r="B409" t="str">
            <v>Ichiban</v>
          </cell>
          <cell r="C409" t="str">
            <v>Pyrithiobac Sodium 10% SC</v>
          </cell>
          <cell r="D409" t="str">
            <v>Hichki</v>
          </cell>
          <cell r="E409" t="str">
            <v>500 ML</v>
          </cell>
          <cell r="F409">
            <v>1125</v>
          </cell>
          <cell r="G409">
            <v>18</v>
          </cell>
          <cell r="H409">
            <v>202.5</v>
          </cell>
          <cell r="I409">
            <v>1327.5</v>
          </cell>
        </row>
        <row r="410">
          <cell r="B410" t="str">
            <v>Ichiban</v>
          </cell>
          <cell r="C410" t="str">
            <v>Pyrithiobac Sodium 10% SC</v>
          </cell>
          <cell r="D410" t="str">
            <v>Hichki</v>
          </cell>
          <cell r="E410" t="str">
            <v>250 ML</v>
          </cell>
          <cell r="F410">
            <v>575</v>
          </cell>
          <cell r="G410">
            <v>18</v>
          </cell>
          <cell r="H410">
            <v>103.5</v>
          </cell>
          <cell r="I410">
            <v>678.5</v>
          </cell>
        </row>
        <row r="411">
          <cell r="B411" t="str">
            <v>Ichiban</v>
          </cell>
          <cell r="C411" t="str">
            <v>Pyrithiobac Sodium 10% SC</v>
          </cell>
          <cell r="D411" t="str">
            <v>Hichki</v>
          </cell>
          <cell r="E411" t="str">
            <v>100 ML</v>
          </cell>
          <cell r="F411">
            <v>240</v>
          </cell>
          <cell r="G411">
            <v>18</v>
          </cell>
          <cell r="H411">
            <v>43.199999999999996</v>
          </cell>
          <cell r="I411">
            <v>283.2</v>
          </cell>
        </row>
        <row r="412">
          <cell r="B412" t="str">
            <v>Ichiban</v>
          </cell>
          <cell r="C412" t="str">
            <v>Pendimethalin 38.7% CS</v>
          </cell>
          <cell r="D412" t="str">
            <v>Pandy cs</v>
          </cell>
          <cell r="E412" t="str">
            <v>3.5000 ML</v>
          </cell>
          <cell r="F412">
            <v>1697.5</v>
          </cell>
          <cell r="G412">
            <v>18</v>
          </cell>
          <cell r="H412">
            <v>305.55</v>
          </cell>
          <cell r="I412">
            <v>2003.05</v>
          </cell>
        </row>
        <row r="413">
          <cell r="B413" t="str">
            <v>Ichiban</v>
          </cell>
          <cell r="C413" t="str">
            <v>Pendimethalin 38.7% CS</v>
          </cell>
          <cell r="D413" t="str">
            <v>Pandy cs</v>
          </cell>
          <cell r="E413" t="str">
            <v>700 ML</v>
          </cell>
          <cell r="F413">
            <v>343</v>
          </cell>
          <cell r="G413">
            <v>18</v>
          </cell>
          <cell r="H413">
            <v>61.739999999999995</v>
          </cell>
          <cell r="I413">
            <v>404.74</v>
          </cell>
        </row>
        <row r="414">
          <cell r="B414" t="str">
            <v>Ichiban</v>
          </cell>
          <cell r="C414" t="str">
            <v>Pendimethalin 38.7% CS</v>
          </cell>
          <cell r="D414" t="str">
            <v>Pandy cs</v>
          </cell>
          <cell r="E414" t="str">
            <v>350 ML</v>
          </cell>
          <cell r="F414">
            <v>176.75</v>
          </cell>
          <cell r="G414">
            <v>18</v>
          </cell>
          <cell r="H414">
            <v>31.814999999999998</v>
          </cell>
          <cell r="I414">
            <v>208.565</v>
          </cell>
        </row>
        <row r="415">
          <cell r="B415" t="str">
            <v>Ichiban</v>
          </cell>
          <cell r="C415" t="str">
            <v>Imazathapyr  70% WG</v>
          </cell>
          <cell r="D415" t="str">
            <v>Alligator</v>
          </cell>
          <cell r="E415" t="str">
            <v>250 GMS</v>
          </cell>
          <cell r="F415">
            <v>1550</v>
          </cell>
          <cell r="G415">
            <v>18</v>
          </cell>
          <cell r="H415">
            <v>279</v>
          </cell>
          <cell r="I415">
            <v>1829</v>
          </cell>
        </row>
        <row r="416">
          <cell r="B416" t="str">
            <v>Ichiban</v>
          </cell>
          <cell r="C416" t="str">
            <v>Imazathapyr  70% WG</v>
          </cell>
          <cell r="D416" t="str">
            <v>Alligator</v>
          </cell>
          <cell r="E416" t="str">
            <v>50 GMS</v>
          </cell>
          <cell r="F416">
            <v>330</v>
          </cell>
          <cell r="G416">
            <v>18</v>
          </cell>
          <cell r="H416">
            <v>59.4</v>
          </cell>
          <cell r="I416">
            <v>389.4</v>
          </cell>
        </row>
        <row r="417">
          <cell r="B417" t="str">
            <v>Ichiban</v>
          </cell>
          <cell r="C417" t="str">
            <v>Fenoxaprop-P-Ethyl 9.3% EC</v>
          </cell>
          <cell r="D417" t="str">
            <v>Americano</v>
          </cell>
          <cell r="E417" t="str">
            <v>1000 ML</v>
          </cell>
          <cell r="F417">
            <v>950</v>
          </cell>
          <cell r="G417">
            <v>18</v>
          </cell>
          <cell r="H417">
            <v>171</v>
          </cell>
          <cell r="I417">
            <v>1121</v>
          </cell>
        </row>
        <row r="418">
          <cell r="B418" t="str">
            <v>Ichiban</v>
          </cell>
          <cell r="C418" t="str">
            <v>Fenoxaprop-P-Ethyl 9.3% EC</v>
          </cell>
          <cell r="D418" t="str">
            <v>Americano</v>
          </cell>
          <cell r="E418" t="str">
            <v>500 ML</v>
          </cell>
          <cell r="F418">
            <v>485</v>
          </cell>
          <cell r="G418">
            <v>18</v>
          </cell>
          <cell r="H418">
            <v>87.3</v>
          </cell>
          <cell r="I418">
            <v>572.29999999999995</v>
          </cell>
        </row>
        <row r="419">
          <cell r="B419" t="str">
            <v>Ichiban</v>
          </cell>
          <cell r="C419" t="str">
            <v>Fenoxaprop-P-Ethyl 9.3% EC</v>
          </cell>
          <cell r="D419" t="str">
            <v>Americano</v>
          </cell>
          <cell r="E419" t="str">
            <v>250 ML</v>
          </cell>
          <cell r="F419">
            <v>252.5</v>
          </cell>
          <cell r="G419">
            <v>18</v>
          </cell>
          <cell r="H419">
            <v>45.449999999999996</v>
          </cell>
          <cell r="I419">
            <v>297.95</v>
          </cell>
        </row>
        <row r="420">
          <cell r="B420" t="str">
            <v>Ichiban</v>
          </cell>
          <cell r="C420" t="str">
            <v>Fenoxaprop-P-Ethyl 9.3% EC</v>
          </cell>
          <cell r="D420" t="str">
            <v>Americano</v>
          </cell>
          <cell r="E420" t="str">
            <v>100 ML</v>
          </cell>
          <cell r="F420">
            <v>107.5</v>
          </cell>
          <cell r="G420">
            <v>18</v>
          </cell>
          <cell r="H420">
            <v>19.349999999999998</v>
          </cell>
          <cell r="I420">
            <v>126.85</v>
          </cell>
        </row>
        <row r="421">
          <cell r="B421" t="str">
            <v>Ichiban</v>
          </cell>
          <cell r="C421" t="str">
            <v>Diclosulam 84% WDG</v>
          </cell>
          <cell r="D421" t="str">
            <v>Barreta</v>
          </cell>
          <cell r="E421" t="str">
            <v>12.4 GMS</v>
          </cell>
          <cell r="F421">
            <v>341</v>
          </cell>
          <cell r="G421">
            <v>18</v>
          </cell>
          <cell r="H421">
            <v>61.379999999999995</v>
          </cell>
          <cell r="I421">
            <v>402.38</v>
          </cell>
        </row>
        <row r="422">
          <cell r="B422" t="str">
            <v>Ichiban</v>
          </cell>
          <cell r="C422" t="str">
            <v>Quizalofop Ethyl 5% EC</v>
          </cell>
          <cell r="D422" t="str">
            <v>Daichi</v>
          </cell>
          <cell r="E422" t="str">
            <v>1000 ML</v>
          </cell>
          <cell r="F422">
            <v>600</v>
          </cell>
          <cell r="G422">
            <v>18</v>
          </cell>
          <cell r="H422">
            <v>108</v>
          </cell>
          <cell r="I422">
            <v>708</v>
          </cell>
        </row>
        <row r="423">
          <cell r="B423" t="str">
            <v>Ichiban</v>
          </cell>
          <cell r="C423" t="str">
            <v>Quizalofop Ethyl 5% EC</v>
          </cell>
          <cell r="D423" t="str">
            <v>Daichi</v>
          </cell>
          <cell r="E423" t="str">
            <v>500 ML</v>
          </cell>
          <cell r="F423">
            <v>310</v>
          </cell>
          <cell r="G423">
            <v>18</v>
          </cell>
          <cell r="H423">
            <v>55.8</v>
          </cell>
          <cell r="I423">
            <v>365.8</v>
          </cell>
        </row>
        <row r="424">
          <cell r="B424" t="str">
            <v>Ichiban</v>
          </cell>
          <cell r="C424" t="str">
            <v>Quizalofop Ethyl 5% EC</v>
          </cell>
          <cell r="D424" t="str">
            <v>Daichi</v>
          </cell>
          <cell r="E424" t="str">
            <v>250 ML</v>
          </cell>
          <cell r="F424">
            <v>165</v>
          </cell>
          <cell r="G424">
            <v>18</v>
          </cell>
          <cell r="H424">
            <v>29.7</v>
          </cell>
          <cell r="I424">
            <v>194.7</v>
          </cell>
        </row>
        <row r="425">
          <cell r="B425" t="str">
            <v>Ichiban</v>
          </cell>
          <cell r="C425" t="str">
            <v>Quizalofop Ethyl 5% EC</v>
          </cell>
          <cell r="D425" t="str">
            <v>Daichi</v>
          </cell>
          <cell r="E425" t="str">
            <v>100 ML</v>
          </cell>
          <cell r="F425">
            <v>72.5</v>
          </cell>
          <cell r="G425">
            <v>18</v>
          </cell>
          <cell r="H425">
            <v>13.049999999999999</v>
          </cell>
          <cell r="I425">
            <v>85.55</v>
          </cell>
        </row>
        <row r="426">
          <cell r="B426" t="str">
            <v>Ichiban</v>
          </cell>
          <cell r="C426" t="str">
            <v>Quizalofop Ethyl 10% EC</v>
          </cell>
          <cell r="D426" t="str">
            <v>Daichi ultra</v>
          </cell>
          <cell r="E426" t="str">
            <v>1000 ML</v>
          </cell>
          <cell r="F426">
            <v>900</v>
          </cell>
          <cell r="G426">
            <v>18</v>
          </cell>
          <cell r="H426">
            <v>162</v>
          </cell>
          <cell r="I426">
            <v>1062</v>
          </cell>
        </row>
        <row r="427">
          <cell r="B427" t="str">
            <v>Ichiban</v>
          </cell>
          <cell r="C427" t="str">
            <v>Quizalofop Ethyl 10% EC</v>
          </cell>
          <cell r="D427" t="str">
            <v>Daichi ultra</v>
          </cell>
          <cell r="E427" t="str">
            <v>500 ML</v>
          </cell>
          <cell r="F427">
            <v>462.5</v>
          </cell>
          <cell r="G427">
            <v>18</v>
          </cell>
          <cell r="H427">
            <v>83.25</v>
          </cell>
          <cell r="I427">
            <v>545.75</v>
          </cell>
        </row>
        <row r="428">
          <cell r="B428" t="str">
            <v>Ichiban</v>
          </cell>
          <cell r="C428" t="str">
            <v>Quizalofop Ethyl 10% EC</v>
          </cell>
          <cell r="D428" t="str">
            <v>Daichi ultra</v>
          </cell>
          <cell r="E428" t="str">
            <v>250 ML</v>
          </cell>
          <cell r="F428">
            <v>243.75</v>
          </cell>
          <cell r="G428">
            <v>18</v>
          </cell>
          <cell r="H428">
            <v>43.875</v>
          </cell>
          <cell r="I428">
            <v>287.625</v>
          </cell>
        </row>
        <row r="429">
          <cell r="B429" t="str">
            <v>Ichiban</v>
          </cell>
          <cell r="C429" t="str">
            <v>Quizalofop Ethyl 10% EC</v>
          </cell>
          <cell r="D429" t="str">
            <v>Daichi ultra</v>
          </cell>
          <cell r="E429" t="str">
            <v>100 ML</v>
          </cell>
          <cell r="F429">
            <v>105</v>
          </cell>
          <cell r="G429">
            <v>18</v>
          </cell>
          <cell r="H429">
            <v>18.899999999999999</v>
          </cell>
          <cell r="I429">
            <v>123.9</v>
          </cell>
        </row>
        <row r="430">
          <cell r="B430" t="str">
            <v>Ichiban</v>
          </cell>
          <cell r="C430" t="str">
            <v>Imazethapyr 10% SL</v>
          </cell>
          <cell r="D430" t="str">
            <v>Emoji</v>
          </cell>
          <cell r="E430" t="str">
            <v>1000 ML</v>
          </cell>
          <cell r="F430">
            <v>615</v>
          </cell>
          <cell r="G430">
            <v>18</v>
          </cell>
          <cell r="H430">
            <v>110.7</v>
          </cell>
          <cell r="I430">
            <v>725.7</v>
          </cell>
        </row>
        <row r="431">
          <cell r="B431" t="str">
            <v>Ichiban</v>
          </cell>
          <cell r="C431" t="str">
            <v>Imazethapyr 10% SL</v>
          </cell>
          <cell r="D431" t="str">
            <v>Emoji</v>
          </cell>
          <cell r="E431" t="str">
            <v>500 ML</v>
          </cell>
          <cell r="F431">
            <v>317.5</v>
          </cell>
          <cell r="G431">
            <v>18</v>
          </cell>
          <cell r="H431">
            <v>57.15</v>
          </cell>
          <cell r="I431">
            <v>374.65</v>
          </cell>
        </row>
        <row r="432">
          <cell r="B432" t="str">
            <v>Ichiban</v>
          </cell>
          <cell r="C432" t="str">
            <v>Imazethapyr 10% SL</v>
          </cell>
          <cell r="D432" t="str">
            <v>Emoji</v>
          </cell>
          <cell r="E432" t="str">
            <v>250 ML</v>
          </cell>
          <cell r="F432">
            <v>168.75</v>
          </cell>
          <cell r="G432">
            <v>18</v>
          </cell>
          <cell r="H432">
            <v>30.375</v>
          </cell>
          <cell r="I432">
            <v>199.125</v>
          </cell>
        </row>
        <row r="433">
          <cell r="B433" t="str">
            <v>Ichiban</v>
          </cell>
          <cell r="C433" t="str">
            <v>Sodium Acifluorfen 16.5% + Clodina 8% EC</v>
          </cell>
          <cell r="D433" t="str">
            <v>Kaamyab</v>
          </cell>
          <cell r="E433" t="str">
            <v>1000 ML</v>
          </cell>
          <cell r="F433">
            <v>1450</v>
          </cell>
          <cell r="G433">
            <v>18</v>
          </cell>
          <cell r="H433">
            <v>261</v>
          </cell>
          <cell r="I433">
            <v>1711</v>
          </cell>
        </row>
        <row r="434">
          <cell r="B434" t="str">
            <v>Ichiban</v>
          </cell>
          <cell r="C434" t="str">
            <v>Sodium Acifluorfen 16.5% + Clodina 8% EC</v>
          </cell>
          <cell r="D434" t="str">
            <v>Kaamyab</v>
          </cell>
          <cell r="E434" t="str">
            <v>400 ML</v>
          </cell>
          <cell r="F434">
            <v>604</v>
          </cell>
          <cell r="G434">
            <v>18</v>
          </cell>
          <cell r="H434">
            <v>108.72</v>
          </cell>
          <cell r="I434">
            <v>712.72</v>
          </cell>
        </row>
        <row r="435">
          <cell r="B435" t="str">
            <v>Ichiban</v>
          </cell>
          <cell r="C435" t="str">
            <v>Sodium Acifluorfen 16.5% + Clodina 8% EC</v>
          </cell>
          <cell r="D435" t="str">
            <v>Kaamyab</v>
          </cell>
          <cell r="E435" t="str">
            <v>200 ML</v>
          </cell>
          <cell r="F435">
            <v>314</v>
          </cell>
          <cell r="G435">
            <v>18</v>
          </cell>
          <cell r="H435">
            <v>56.519999999999996</v>
          </cell>
          <cell r="I435">
            <v>370.52</v>
          </cell>
        </row>
        <row r="436">
          <cell r="B436" t="str">
            <v>Ichiban</v>
          </cell>
          <cell r="C436" t="str">
            <v>Propaquizafop 10% EC</v>
          </cell>
          <cell r="D436" t="str">
            <v>Propagate</v>
          </cell>
          <cell r="E436" t="str">
            <v>1000 ML</v>
          </cell>
          <cell r="F436">
            <v>1250</v>
          </cell>
          <cell r="G436">
            <v>18</v>
          </cell>
          <cell r="H436">
            <v>225</v>
          </cell>
          <cell r="I436">
            <v>1475</v>
          </cell>
        </row>
        <row r="437">
          <cell r="B437" t="str">
            <v>Ichiban</v>
          </cell>
          <cell r="C437" t="str">
            <v>Propaquizafop 10% EC</v>
          </cell>
          <cell r="D437" t="str">
            <v>Propagate</v>
          </cell>
          <cell r="E437" t="str">
            <v>500 ML</v>
          </cell>
          <cell r="F437">
            <v>637.5</v>
          </cell>
          <cell r="G437">
            <v>18</v>
          </cell>
          <cell r="H437">
            <v>114.75</v>
          </cell>
          <cell r="I437">
            <v>752.25</v>
          </cell>
        </row>
        <row r="438">
          <cell r="B438" t="str">
            <v>Ichiban</v>
          </cell>
          <cell r="C438" t="str">
            <v>Propaquizafop 10% EC</v>
          </cell>
          <cell r="D438" t="str">
            <v>Propagate</v>
          </cell>
          <cell r="E438" t="str">
            <v>250 ML</v>
          </cell>
          <cell r="F438">
            <v>331.25</v>
          </cell>
          <cell r="G438">
            <v>18</v>
          </cell>
          <cell r="H438">
            <v>59.625</v>
          </cell>
          <cell r="I438">
            <v>390.875</v>
          </cell>
        </row>
        <row r="439">
          <cell r="B439" t="str">
            <v>Ichiban</v>
          </cell>
          <cell r="C439" t="str">
            <v>Propaquizafop 10% EC</v>
          </cell>
          <cell r="D439" t="str">
            <v>Propagate</v>
          </cell>
          <cell r="E439" t="str">
            <v>100 ML</v>
          </cell>
          <cell r="F439">
            <v>140</v>
          </cell>
          <cell r="G439">
            <v>18</v>
          </cell>
          <cell r="H439">
            <v>25.2</v>
          </cell>
          <cell r="I439">
            <v>165.2</v>
          </cell>
        </row>
        <row r="440">
          <cell r="B440" t="str">
            <v>Ichiban</v>
          </cell>
          <cell r="C440" t="str">
            <v>Fomesafen 11.1%+ Fluazifop P Buty 11.1% SL</v>
          </cell>
          <cell r="D440" t="str">
            <v>Ichiflex</v>
          </cell>
          <cell r="E440" t="str">
            <v>1000 ML</v>
          </cell>
          <cell r="F440">
            <v>1500</v>
          </cell>
          <cell r="G440">
            <v>18</v>
          </cell>
          <cell r="H440">
            <v>270</v>
          </cell>
          <cell r="I440">
            <v>1770</v>
          </cell>
        </row>
        <row r="441">
          <cell r="B441" t="str">
            <v>Ichiban</v>
          </cell>
          <cell r="C441" t="str">
            <v>Fomesafen 11.1%+ Fluazifop P Buty 11.1% SL</v>
          </cell>
          <cell r="D441" t="str">
            <v>Ichiflex</v>
          </cell>
          <cell r="E441" t="str">
            <v>400 ML</v>
          </cell>
          <cell r="F441">
            <v>616</v>
          </cell>
          <cell r="G441">
            <v>18</v>
          </cell>
          <cell r="H441">
            <v>110.88</v>
          </cell>
          <cell r="I441">
            <v>726.88</v>
          </cell>
        </row>
        <row r="442">
          <cell r="B442" t="str">
            <v>Ichiban</v>
          </cell>
          <cell r="C442" t="str">
            <v>Haloxyfop-P-Methyl 10.5% EC</v>
          </cell>
          <cell r="D442" t="str">
            <v>Shezada</v>
          </cell>
          <cell r="E442" t="str">
            <v>1000 ML</v>
          </cell>
          <cell r="F442">
            <v>1250</v>
          </cell>
          <cell r="G442">
            <v>18</v>
          </cell>
          <cell r="H442">
            <v>225</v>
          </cell>
          <cell r="I442">
            <v>1475</v>
          </cell>
        </row>
        <row r="443">
          <cell r="B443" t="str">
            <v>Ichiban</v>
          </cell>
          <cell r="C443" t="str">
            <v>Haloxyfop-P-Methyl 10.5% EC</v>
          </cell>
          <cell r="D443" t="str">
            <v>Shezada</v>
          </cell>
          <cell r="E443" t="str">
            <v>400 ML</v>
          </cell>
          <cell r="F443">
            <v>510</v>
          </cell>
          <cell r="G443">
            <v>18</v>
          </cell>
          <cell r="H443">
            <v>91.8</v>
          </cell>
          <cell r="I443">
            <v>601.79999999999995</v>
          </cell>
        </row>
        <row r="444">
          <cell r="B444" t="str">
            <v>Ichiban</v>
          </cell>
          <cell r="C444" t="str">
            <v>Haloxyfop-P-Methyl 10.5% EC</v>
          </cell>
          <cell r="D444" t="str">
            <v>Shezada</v>
          </cell>
          <cell r="E444" t="str">
            <v>200 ML</v>
          </cell>
          <cell r="F444">
            <v>265</v>
          </cell>
          <cell r="G444">
            <v>18</v>
          </cell>
          <cell r="H444">
            <v>47.699999999999996</v>
          </cell>
          <cell r="I444">
            <v>312.7</v>
          </cell>
        </row>
        <row r="445">
          <cell r="B445" t="str">
            <v>Ichiban</v>
          </cell>
          <cell r="C445" t="str">
            <v>Sulfentrazone 28% + Clomazone 30% WP</v>
          </cell>
          <cell r="D445" t="str">
            <v>Sindoor gold</v>
          </cell>
          <cell r="E445" t="str">
            <v>1000 GMS</v>
          </cell>
          <cell r="F445">
            <v>2000</v>
          </cell>
          <cell r="G445">
            <v>18</v>
          </cell>
          <cell r="H445">
            <v>360</v>
          </cell>
          <cell r="I445">
            <v>2360</v>
          </cell>
        </row>
        <row r="446">
          <cell r="B446" t="str">
            <v>Ichiban</v>
          </cell>
          <cell r="C446" t="str">
            <v>Sulfentrazone 28% + Clomazone 30% WP</v>
          </cell>
          <cell r="D446" t="str">
            <v>Sindoor gold</v>
          </cell>
          <cell r="E446" t="str">
            <v>500 GMS</v>
          </cell>
          <cell r="F446">
            <v>1025</v>
          </cell>
          <cell r="G446">
            <v>18</v>
          </cell>
          <cell r="H446">
            <v>184.5</v>
          </cell>
          <cell r="I446">
            <v>1209.5</v>
          </cell>
        </row>
        <row r="447">
          <cell r="B447" t="str">
            <v>Ichiban</v>
          </cell>
          <cell r="C447" t="str">
            <v>Sulfosulfuron 75% WG</v>
          </cell>
          <cell r="D447" t="str">
            <v>Agency</v>
          </cell>
          <cell r="E447" t="str">
            <v>13.5 GMS</v>
          </cell>
          <cell r="F447">
            <v>200</v>
          </cell>
          <cell r="G447">
            <v>18</v>
          </cell>
          <cell r="H447">
            <v>36</v>
          </cell>
          <cell r="I447">
            <v>236</v>
          </cell>
        </row>
        <row r="448">
          <cell r="B448" t="str">
            <v>Ichiban</v>
          </cell>
          <cell r="C448" t="str">
            <v>Sulfosulfuron 75% WG</v>
          </cell>
          <cell r="D448" t="str">
            <v>Agency</v>
          </cell>
          <cell r="E448" t="str">
            <v>6.75 GMS</v>
          </cell>
          <cell r="F448">
            <v>120</v>
          </cell>
          <cell r="G448">
            <v>18</v>
          </cell>
          <cell r="H448">
            <v>21.599999999999998</v>
          </cell>
          <cell r="I448">
            <v>141.6</v>
          </cell>
        </row>
        <row r="449">
          <cell r="B449" t="str">
            <v>Ichiban</v>
          </cell>
          <cell r="C449" t="str">
            <v>Carfentrazone Ethyl 40% DF</v>
          </cell>
          <cell r="D449" t="str">
            <v>Bhangra</v>
          </cell>
          <cell r="E449" t="str">
            <v>20 GMS</v>
          </cell>
          <cell r="F449">
            <v>180</v>
          </cell>
          <cell r="G449">
            <v>18</v>
          </cell>
          <cell r="H449">
            <v>32.4</v>
          </cell>
          <cell r="I449">
            <v>212.4</v>
          </cell>
        </row>
        <row r="450">
          <cell r="B450" t="str">
            <v>Ichiban</v>
          </cell>
          <cell r="C450" t="str">
            <v>Sulfosulfuron 75% + Metsulfuron Methyl 5% WG</v>
          </cell>
          <cell r="D450" t="str">
            <v>Agency super</v>
          </cell>
          <cell r="E450" t="str">
            <v>16 GMS</v>
          </cell>
          <cell r="F450">
            <v>251</v>
          </cell>
          <cell r="G450">
            <v>18</v>
          </cell>
          <cell r="H450">
            <v>45.18</v>
          </cell>
          <cell r="I450">
            <v>296.18</v>
          </cell>
        </row>
        <row r="451">
          <cell r="B451" t="str">
            <v>Ichiban</v>
          </cell>
          <cell r="C451" t="str">
            <v>Clodinafop propargyl 15% WP</v>
          </cell>
          <cell r="D451" t="str">
            <v>Currency</v>
          </cell>
          <cell r="E451" t="str">
            <v>160 GM</v>
          </cell>
          <cell r="F451">
            <v>135</v>
          </cell>
          <cell r="G451">
            <v>18</v>
          </cell>
          <cell r="H451">
            <v>24.3</v>
          </cell>
          <cell r="I451">
            <v>159.30000000000001</v>
          </cell>
        </row>
        <row r="452">
          <cell r="B452" t="str">
            <v>Ichiban</v>
          </cell>
          <cell r="C452" t="str">
            <v>Pinoxaden 5.1% EC</v>
          </cell>
          <cell r="D452" t="str">
            <v>Execution</v>
          </cell>
          <cell r="E452" t="str">
            <v>400 ML</v>
          </cell>
          <cell r="F452">
            <v>600</v>
          </cell>
          <cell r="G452">
            <v>18</v>
          </cell>
          <cell r="H452">
            <v>108</v>
          </cell>
          <cell r="I452">
            <v>708</v>
          </cell>
        </row>
        <row r="453">
          <cell r="B453" t="str">
            <v>Ichiban</v>
          </cell>
          <cell r="C453" t="str">
            <v>Metsulfuron Methyl 20%</v>
          </cell>
          <cell r="D453" t="str">
            <v>Metsu</v>
          </cell>
          <cell r="E453" t="str">
            <v>8 GMS</v>
          </cell>
          <cell r="F453">
            <v>20</v>
          </cell>
          <cell r="G453">
            <v>18</v>
          </cell>
          <cell r="H453">
            <v>3.5999999999999996</v>
          </cell>
          <cell r="I453">
            <v>23.6</v>
          </cell>
        </row>
        <row r="454">
          <cell r="B454" t="str">
            <v>Ichiban</v>
          </cell>
          <cell r="C454" t="str">
            <v>Metsulfuron Methyl 20%</v>
          </cell>
          <cell r="D454" t="str">
            <v>Metsu</v>
          </cell>
          <cell r="E454" t="str">
            <v>8 GMS</v>
          </cell>
          <cell r="F454">
            <v>20</v>
          </cell>
          <cell r="G454">
            <v>18</v>
          </cell>
          <cell r="H454">
            <v>3.5999999999999996</v>
          </cell>
          <cell r="I454">
            <v>23.6</v>
          </cell>
        </row>
        <row r="455">
          <cell r="B455" t="str">
            <v>Ichiban</v>
          </cell>
          <cell r="C455" t="str">
            <v>Metsulfuron Methyl 20% WG</v>
          </cell>
          <cell r="D455" t="str">
            <v>Metsu Gold</v>
          </cell>
          <cell r="E455" t="str">
            <v>8 GMS</v>
          </cell>
          <cell r="F455">
            <v>50</v>
          </cell>
          <cell r="G455">
            <v>18</v>
          </cell>
          <cell r="H455">
            <v>9</v>
          </cell>
          <cell r="I455">
            <v>59</v>
          </cell>
        </row>
        <row r="456">
          <cell r="B456" t="str">
            <v>Ichiban</v>
          </cell>
          <cell r="C456" t="str">
            <v>Pyroxasulfone 85% WG</v>
          </cell>
          <cell r="D456" t="str">
            <v>Tribunal</v>
          </cell>
          <cell r="E456" t="str">
            <v>60 GMS</v>
          </cell>
          <cell r="F456">
            <v>650</v>
          </cell>
          <cell r="G456">
            <v>18</v>
          </cell>
          <cell r="H456">
            <v>117</v>
          </cell>
          <cell r="I456">
            <v>767</v>
          </cell>
        </row>
        <row r="457">
          <cell r="B457" t="str">
            <v>Ichiban</v>
          </cell>
          <cell r="C457" t="str">
            <v>Clodina Propargyl 9% + Metribuzin 20% WP</v>
          </cell>
          <cell r="D457" t="str">
            <v>Rambha</v>
          </cell>
          <cell r="E457" t="str">
            <v>240 GMS</v>
          </cell>
          <cell r="F457">
            <v>0</v>
          </cell>
          <cell r="G457">
            <v>18</v>
          </cell>
          <cell r="H457">
            <v>0</v>
          </cell>
          <cell r="I457">
            <v>0</v>
          </cell>
        </row>
        <row r="458">
          <cell r="B458" t="str">
            <v>Ichiban</v>
          </cell>
          <cell r="C458" t="str">
            <v>Alpha Napthyl Acetic Acid 4.5% SL</v>
          </cell>
          <cell r="D458" t="str">
            <v>Aafreen</v>
          </cell>
          <cell r="E458" t="str">
            <v>1000 ML</v>
          </cell>
          <cell r="F458">
            <v>350</v>
          </cell>
          <cell r="G458">
            <v>18</v>
          </cell>
          <cell r="H458">
            <v>63</v>
          </cell>
          <cell r="I458">
            <v>413</v>
          </cell>
        </row>
        <row r="459">
          <cell r="B459" t="str">
            <v>Ichiban</v>
          </cell>
          <cell r="C459" t="str">
            <v>Alpha Napthyl Acetic Acid 4.5% SL</v>
          </cell>
          <cell r="D459" t="str">
            <v>Aafreen</v>
          </cell>
          <cell r="E459" t="str">
            <v>500 ML</v>
          </cell>
          <cell r="F459">
            <v>182.5</v>
          </cell>
          <cell r="G459">
            <v>18</v>
          </cell>
          <cell r="H459">
            <v>32.85</v>
          </cell>
          <cell r="I459">
            <v>215.35</v>
          </cell>
        </row>
        <row r="460">
          <cell r="B460" t="str">
            <v>Ichiban</v>
          </cell>
          <cell r="C460" t="str">
            <v>Alpha Napthyl Acetic Acid 4.5% SL</v>
          </cell>
          <cell r="D460" t="str">
            <v>Aafreen</v>
          </cell>
          <cell r="E460" t="str">
            <v>250 ML</v>
          </cell>
          <cell r="F460">
            <v>100</v>
          </cell>
          <cell r="G460">
            <v>18</v>
          </cell>
          <cell r="H460">
            <v>18</v>
          </cell>
          <cell r="I460">
            <v>118</v>
          </cell>
        </row>
        <row r="461">
          <cell r="B461" t="str">
            <v>Ichiban</v>
          </cell>
          <cell r="C461" t="str">
            <v>Alpha Napthyl Acetic Acid 4.5% SL</v>
          </cell>
          <cell r="D461" t="str">
            <v>Aafreen</v>
          </cell>
          <cell r="E461" t="str">
            <v>100 ML</v>
          </cell>
          <cell r="F461">
            <v>45</v>
          </cell>
          <cell r="G461">
            <v>18</v>
          </cell>
          <cell r="H461">
            <v>8.1</v>
          </cell>
          <cell r="I461">
            <v>53.1</v>
          </cell>
        </row>
        <row r="462">
          <cell r="B462" t="str">
            <v>Ichiban</v>
          </cell>
          <cell r="C462" t="str">
            <v>Gibberellic Acid 40% WSG</v>
          </cell>
          <cell r="D462" t="str">
            <v>Gold Dust</v>
          </cell>
          <cell r="E462" t="str">
            <v>1000 GMS</v>
          </cell>
          <cell r="F462">
            <v>15000</v>
          </cell>
          <cell r="G462">
            <v>12</v>
          </cell>
          <cell r="H462">
            <v>1800</v>
          </cell>
          <cell r="I462">
            <v>16800</v>
          </cell>
        </row>
        <row r="463">
          <cell r="B463" t="str">
            <v>Ichiban</v>
          </cell>
          <cell r="C463" t="str">
            <v>Gibberellic Acid 40% WSG</v>
          </cell>
          <cell r="D463" t="str">
            <v>Gold Dust</v>
          </cell>
          <cell r="E463" t="str">
            <v>100 GMS</v>
          </cell>
          <cell r="F463">
            <v>2025</v>
          </cell>
          <cell r="G463">
            <v>12</v>
          </cell>
          <cell r="H463">
            <v>243</v>
          </cell>
          <cell r="I463">
            <v>2268</v>
          </cell>
        </row>
        <row r="464">
          <cell r="B464" t="str">
            <v>Ichiban</v>
          </cell>
          <cell r="C464" t="str">
            <v>Gibberellic Acid 40% WSG</v>
          </cell>
          <cell r="D464" t="str">
            <v>Gold Dust</v>
          </cell>
          <cell r="E464" t="str">
            <v>25 GMS</v>
          </cell>
          <cell r="F464">
            <v>256.25</v>
          </cell>
          <cell r="G464">
            <v>12</v>
          </cell>
          <cell r="H464">
            <v>30.75</v>
          </cell>
          <cell r="I464">
            <v>287</v>
          </cell>
        </row>
        <row r="465">
          <cell r="B465" t="str">
            <v>Ichiban</v>
          </cell>
          <cell r="C465" t="str">
            <v>Gibberellic Acid 40% WSG</v>
          </cell>
          <cell r="D465" t="str">
            <v>Gold Dust</v>
          </cell>
          <cell r="E465" t="str">
            <v>12.5 GMS</v>
          </cell>
          <cell r="F465">
            <v>518.75</v>
          </cell>
          <cell r="G465">
            <v>12</v>
          </cell>
          <cell r="H465">
            <v>62.25</v>
          </cell>
          <cell r="I465">
            <v>581</v>
          </cell>
        </row>
        <row r="466">
          <cell r="B466" t="str">
            <v>Ichiban</v>
          </cell>
          <cell r="C466" t="str">
            <v>Gibberellic Acid 40% WSG</v>
          </cell>
          <cell r="D466" t="str">
            <v>Gold Dust</v>
          </cell>
          <cell r="E466" t="str">
            <v>2.5 GMS</v>
          </cell>
          <cell r="F466">
            <v>52.5</v>
          </cell>
          <cell r="G466">
            <v>12</v>
          </cell>
          <cell r="H466">
            <v>6.3</v>
          </cell>
          <cell r="I466">
            <v>58.8</v>
          </cell>
        </row>
        <row r="467">
          <cell r="B467" t="str">
            <v>Ichiban</v>
          </cell>
          <cell r="C467" t="str">
            <v>Tricontanol 0.05% GR</v>
          </cell>
          <cell r="D467" t="str">
            <v>Hifazat</v>
          </cell>
          <cell r="E467" t="str">
            <v>5000 GMS</v>
          </cell>
          <cell r="F467">
            <v>215</v>
          </cell>
          <cell r="G467">
            <v>18</v>
          </cell>
          <cell r="H467">
            <v>38.699999999999996</v>
          </cell>
          <cell r="I467">
            <v>253.7</v>
          </cell>
        </row>
        <row r="468">
          <cell r="B468" t="str">
            <v>Ichiban</v>
          </cell>
          <cell r="C468" t="str">
            <v>Tricontanol 0.05% GR</v>
          </cell>
          <cell r="D468" t="str">
            <v>Hifazat</v>
          </cell>
          <cell r="E468" t="str">
            <v>5000 GMS</v>
          </cell>
          <cell r="F468">
            <v>215</v>
          </cell>
          <cell r="G468">
            <v>18</v>
          </cell>
          <cell r="H468">
            <v>38.699999999999996</v>
          </cell>
          <cell r="I468">
            <v>253.7</v>
          </cell>
        </row>
        <row r="469">
          <cell r="B469" t="str">
            <v>Ichiban</v>
          </cell>
          <cell r="C469" t="str">
            <v>Tricontanol 0.05% GR</v>
          </cell>
          <cell r="D469" t="str">
            <v>Hifazat</v>
          </cell>
          <cell r="E469" t="str">
            <v>5000 GMS</v>
          </cell>
          <cell r="F469">
            <v>215</v>
          </cell>
          <cell r="G469">
            <v>18</v>
          </cell>
          <cell r="H469">
            <v>38.699999999999996</v>
          </cell>
          <cell r="I469">
            <v>253.7</v>
          </cell>
        </row>
        <row r="470">
          <cell r="B470" t="str">
            <v>Ichiban</v>
          </cell>
          <cell r="C470" t="str">
            <v>Tricontanol 0.05% GR</v>
          </cell>
          <cell r="D470" t="str">
            <v>Hifazat</v>
          </cell>
          <cell r="E470" t="str">
            <v>1000 GMS</v>
          </cell>
          <cell r="F470">
            <v>45</v>
          </cell>
          <cell r="G470">
            <v>18</v>
          </cell>
          <cell r="H470">
            <v>8.1</v>
          </cell>
          <cell r="I470">
            <v>53.1</v>
          </cell>
        </row>
        <row r="471">
          <cell r="B471" t="str">
            <v>Ichiban</v>
          </cell>
          <cell r="C471" t="str">
            <v>Tricontanol 0.05% GR</v>
          </cell>
          <cell r="D471" t="str">
            <v>Hifazat</v>
          </cell>
          <cell r="E471" t="str">
            <v>1000 GMS</v>
          </cell>
          <cell r="F471">
            <v>45</v>
          </cell>
          <cell r="G471">
            <v>18</v>
          </cell>
          <cell r="H471">
            <v>8.1</v>
          </cell>
          <cell r="I471">
            <v>53.1</v>
          </cell>
        </row>
        <row r="472">
          <cell r="B472" t="str">
            <v>Ichiban</v>
          </cell>
          <cell r="C472" t="str">
            <v>Tricontanol 0.05% GR</v>
          </cell>
          <cell r="D472" t="str">
            <v>Hifazat</v>
          </cell>
          <cell r="E472" t="str">
            <v>1000 GMS</v>
          </cell>
          <cell r="F472">
            <v>45</v>
          </cell>
          <cell r="G472">
            <v>18</v>
          </cell>
          <cell r="H472">
            <v>8.1</v>
          </cell>
          <cell r="I472">
            <v>53.1</v>
          </cell>
        </row>
        <row r="473">
          <cell r="B473" t="str">
            <v>Ichiban</v>
          </cell>
          <cell r="C473" t="str">
            <v>Gibberellic Acid 0.001% L</v>
          </cell>
          <cell r="D473" t="str">
            <v>Somrus</v>
          </cell>
          <cell r="E473" t="str">
            <v>1000 ML</v>
          </cell>
          <cell r="F473">
            <v>380</v>
          </cell>
          <cell r="G473">
            <v>12</v>
          </cell>
          <cell r="H473">
            <v>45.6</v>
          </cell>
          <cell r="I473">
            <v>425.6</v>
          </cell>
        </row>
        <row r="474">
          <cell r="B474" t="str">
            <v>Ichiban</v>
          </cell>
          <cell r="C474" t="str">
            <v>Gibberellic Acid 0.001% L</v>
          </cell>
          <cell r="D474" t="str">
            <v>Somrus</v>
          </cell>
          <cell r="E474" t="str">
            <v>500 ML</v>
          </cell>
          <cell r="F474">
            <v>197.5</v>
          </cell>
          <cell r="G474">
            <v>12</v>
          </cell>
          <cell r="H474">
            <v>23.7</v>
          </cell>
          <cell r="I474">
            <v>221.2</v>
          </cell>
        </row>
        <row r="475">
          <cell r="B475" t="str">
            <v>Ichiban</v>
          </cell>
          <cell r="C475" t="str">
            <v>Gibberellic Acid 0.001% L</v>
          </cell>
          <cell r="D475" t="str">
            <v>Somrus</v>
          </cell>
          <cell r="E475" t="str">
            <v>250 ML</v>
          </cell>
          <cell r="F475">
            <v>107.5</v>
          </cell>
          <cell r="G475">
            <v>12</v>
          </cell>
          <cell r="H475">
            <v>12.9</v>
          </cell>
          <cell r="I475">
            <v>120.4</v>
          </cell>
        </row>
        <row r="476">
          <cell r="B476" t="str">
            <v>Ichiban</v>
          </cell>
          <cell r="C476" t="str">
            <v>Gibberellic Acid 0.001% L</v>
          </cell>
          <cell r="D476" t="str">
            <v>Somrus</v>
          </cell>
          <cell r="E476" t="str">
            <v>100 ML</v>
          </cell>
          <cell r="F476">
            <v>48</v>
          </cell>
          <cell r="G476">
            <v>12</v>
          </cell>
          <cell r="H476">
            <v>5.76</v>
          </cell>
          <cell r="I476">
            <v>53.76</v>
          </cell>
        </row>
        <row r="477">
          <cell r="B477" t="str">
            <v>Ichiban</v>
          </cell>
          <cell r="C477" t="str">
            <v>Paclobutrazol 23% SC</v>
          </cell>
          <cell r="D477" t="str">
            <v>Yanky</v>
          </cell>
          <cell r="E477" t="str">
            <v>1000 ML</v>
          </cell>
          <cell r="F477">
            <v>1150</v>
          </cell>
          <cell r="G477">
            <v>18</v>
          </cell>
          <cell r="H477">
            <v>207</v>
          </cell>
          <cell r="I477">
            <v>1357</v>
          </cell>
        </row>
        <row r="478">
          <cell r="B478" t="str">
            <v>Ichiban</v>
          </cell>
          <cell r="C478" t="str">
            <v>Paclobutrazol 23% SC</v>
          </cell>
          <cell r="D478" t="str">
            <v>Yanky</v>
          </cell>
          <cell r="E478" t="str">
            <v>500 ML</v>
          </cell>
          <cell r="F478">
            <v>587.5</v>
          </cell>
          <cell r="G478">
            <v>18</v>
          </cell>
          <cell r="H478">
            <v>105.75</v>
          </cell>
          <cell r="I478">
            <v>693.25</v>
          </cell>
        </row>
        <row r="479">
          <cell r="B479" t="str">
            <v>Ichiban</v>
          </cell>
          <cell r="C479" t="str">
            <v>Paclobutrazol 23% SC</v>
          </cell>
          <cell r="D479" t="str">
            <v>Yanky</v>
          </cell>
          <cell r="E479" t="str">
            <v>250 ML</v>
          </cell>
          <cell r="F479">
            <v>306.25</v>
          </cell>
          <cell r="G479">
            <v>18</v>
          </cell>
          <cell r="H479">
            <v>55.125</v>
          </cell>
          <cell r="I479">
            <v>361.375</v>
          </cell>
        </row>
        <row r="480">
          <cell r="B480" t="str">
            <v>Ichiban</v>
          </cell>
          <cell r="C480" t="str">
            <v>Paclobutrazol 23% SC</v>
          </cell>
          <cell r="D480" t="str">
            <v>Yanky</v>
          </cell>
          <cell r="E480" t="str">
            <v>100 ML</v>
          </cell>
          <cell r="F480">
            <v>130</v>
          </cell>
          <cell r="G480">
            <v>18</v>
          </cell>
          <cell r="H480">
            <v>23.4</v>
          </cell>
          <cell r="I480">
            <v>153.4</v>
          </cell>
        </row>
        <row r="481">
          <cell r="B481" t="str">
            <v>Ichiban</v>
          </cell>
          <cell r="C481" t="str">
            <v>Paclobutrazol 23% SC</v>
          </cell>
          <cell r="D481" t="str">
            <v>Yanky</v>
          </cell>
          <cell r="E481" t="str">
            <v>50 ML</v>
          </cell>
          <cell r="F481">
            <v>66.25</v>
          </cell>
          <cell r="G481">
            <v>18</v>
          </cell>
          <cell r="H481">
            <v>11.924999999999999</v>
          </cell>
          <cell r="I481">
            <v>78.174999999999997</v>
          </cell>
        </row>
        <row r="482">
          <cell r="B482" t="str">
            <v>Ichiban</v>
          </cell>
          <cell r="C482" t="str">
            <v>Paclobutrazol 40% SC</v>
          </cell>
          <cell r="D482" t="str">
            <v>Yanky Super</v>
          </cell>
          <cell r="E482" t="str">
            <v>100 ML</v>
          </cell>
          <cell r="F482">
            <v>480</v>
          </cell>
          <cell r="G482">
            <v>18</v>
          </cell>
          <cell r="H482">
            <v>86.399999999999991</v>
          </cell>
          <cell r="I482">
            <v>566.4</v>
          </cell>
        </row>
        <row r="483">
          <cell r="B483" t="str">
            <v>Ichiban</v>
          </cell>
          <cell r="C483" t="str">
            <v>Paclobutrazol 40% SC</v>
          </cell>
          <cell r="D483" t="str">
            <v>Yanky Super</v>
          </cell>
          <cell r="E483" t="str">
            <v>30 ML</v>
          </cell>
          <cell r="F483">
            <v>150</v>
          </cell>
          <cell r="G483">
            <v>18</v>
          </cell>
          <cell r="H483">
            <v>27</v>
          </cell>
          <cell r="I483">
            <v>177</v>
          </cell>
        </row>
        <row r="484">
          <cell r="B484" t="str">
            <v>Ichiban</v>
          </cell>
          <cell r="C484"/>
          <cell r="D484"/>
          <cell r="E484"/>
          <cell r="F484"/>
          <cell r="G484"/>
          <cell r="H484"/>
          <cell r="I484"/>
        </row>
        <row r="485">
          <cell r="B485" t="str">
            <v>Ichiban</v>
          </cell>
          <cell r="C485"/>
          <cell r="D485"/>
          <cell r="E485"/>
          <cell r="F485"/>
          <cell r="G485"/>
          <cell r="H485"/>
          <cell r="I485"/>
        </row>
        <row r="486">
          <cell r="B486" t="str">
            <v>Ichiban</v>
          </cell>
          <cell r="C486"/>
          <cell r="D486"/>
          <cell r="E486"/>
          <cell r="F486"/>
          <cell r="G486"/>
          <cell r="H486"/>
          <cell r="I486"/>
        </row>
        <row r="487">
          <cell r="B487" t="str">
            <v>Ichiban</v>
          </cell>
          <cell r="C487"/>
          <cell r="D487"/>
          <cell r="E487"/>
          <cell r="F487"/>
          <cell r="G487"/>
          <cell r="H487"/>
          <cell r="I487"/>
        </row>
        <row r="488">
          <cell r="B488" t="str">
            <v>Ichiban</v>
          </cell>
          <cell r="C488"/>
          <cell r="D488"/>
          <cell r="E488"/>
          <cell r="F488"/>
          <cell r="G488"/>
          <cell r="H488"/>
          <cell r="I488"/>
        </row>
        <row r="489">
          <cell r="B489" t="str">
            <v>Ichiban</v>
          </cell>
          <cell r="C489"/>
          <cell r="D489"/>
          <cell r="E489"/>
          <cell r="F489"/>
          <cell r="G489"/>
          <cell r="H489"/>
          <cell r="I489"/>
        </row>
        <row r="490">
          <cell r="B490" t="str">
            <v>Ichiban</v>
          </cell>
          <cell r="C490"/>
          <cell r="D490"/>
          <cell r="E490"/>
          <cell r="F490"/>
          <cell r="G490"/>
          <cell r="H490"/>
          <cell r="I490"/>
        </row>
        <row r="491">
          <cell r="B491" t="str">
            <v>Ichiban</v>
          </cell>
          <cell r="C491"/>
          <cell r="D491"/>
          <cell r="E491"/>
          <cell r="F491"/>
          <cell r="G491"/>
          <cell r="H491"/>
          <cell r="I491"/>
        </row>
        <row r="492">
          <cell r="B492" t="str">
            <v>Ichiban</v>
          </cell>
          <cell r="C492"/>
          <cell r="D492"/>
          <cell r="E492"/>
          <cell r="F492"/>
          <cell r="G492"/>
          <cell r="H492"/>
          <cell r="I492"/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ump"/>
      <sheetName val="Work"/>
      <sheetName val="PriceList"/>
      <sheetName val="Trends"/>
    </sheetNames>
    <sheetDataSet>
      <sheetData sheetId="0"/>
      <sheetData sheetId="1"/>
      <sheetData sheetId="2">
        <row r="1">
          <cell r="B1" t="str">
            <v>Company</v>
          </cell>
          <cell r="C1" t="str">
            <v>Technical</v>
          </cell>
          <cell r="D1" t="str">
            <v>Product Name</v>
          </cell>
          <cell r="E1" t="str">
            <v>Packing</v>
          </cell>
          <cell r="F1" t="str">
            <v>Unit Price</v>
          </cell>
          <cell r="G1" t="str">
            <v>GST %</v>
          </cell>
          <cell r="H1" t="str">
            <v>GST</v>
          </cell>
          <cell r="I1" t="str">
            <v>Price wt GST</v>
          </cell>
        </row>
        <row r="2">
          <cell r="B2" t="str">
            <v>Sandhya</v>
          </cell>
          <cell r="C2" t="str">
            <v>Monocrotophos 36% SL</v>
          </cell>
          <cell r="D2" t="str">
            <v>San Mono</v>
          </cell>
          <cell r="E2" t="str">
            <v>5000 ML</v>
          </cell>
          <cell r="F2">
            <v>1976.3230000000001</v>
          </cell>
          <cell r="G2">
            <v>18</v>
          </cell>
          <cell r="H2">
            <v>433.827</v>
          </cell>
          <cell r="I2">
            <v>2410.15</v>
          </cell>
        </row>
        <row r="3">
          <cell r="B3" t="str">
            <v>Sandhya</v>
          </cell>
          <cell r="C3" t="str">
            <v>Monocrotophos 36% SL</v>
          </cell>
          <cell r="D3" t="str">
            <v>San Mono</v>
          </cell>
          <cell r="E3" t="str">
            <v>1000 ML</v>
          </cell>
          <cell r="F3">
            <v>402.62</v>
          </cell>
          <cell r="G3">
            <v>18</v>
          </cell>
          <cell r="H3">
            <v>88.38</v>
          </cell>
          <cell r="I3">
            <v>491</v>
          </cell>
        </row>
        <row r="4">
          <cell r="B4" t="str">
            <v>Sandhya</v>
          </cell>
          <cell r="C4" t="str">
            <v>Monocrotophos 36% SL</v>
          </cell>
          <cell r="D4" t="str">
            <v>San Mono</v>
          </cell>
          <cell r="E4" t="str">
            <v>500 ML</v>
          </cell>
          <cell r="F4">
            <v>209.12459999999999</v>
          </cell>
          <cell r="G4">
            <v>18</v>
          </cell>
          <cell r="H4">
            <v>45.9054</v>
          </cell>
          <cell r="I4">
            <v>255.03</v>
          </cell>
        </row>
        <row r="5">
          <cell r="B5" t="str">
            <v>Sandhya</v>
          </cell>
          <cell r="C5" t="str">
            <v>Monocrotophos 36% SL</v>
          </cell>
          <cell r="D5" t="str">
            <v>San Mono</v>
          </cell>
          <cell r="E5" t="str">
            <v>250 ML</v>
          </cell>
          <cell r="F5">
            <v>109.1584</v>
          </cell>
          <cell r="G5">
            <v>18</v>
          </cell>
          <cell r="H5">
            <v>23.961600000000001</v>
          </cell>
          <cell r="I5">
            <v>133.12</v>
          </cell>
        </row>
        <row r="6">
          <cell r="B6" t="str">
            <v>Sandhya</v>
          </cell>
          <cell r="C6" t="str">
            <v>Monocrotophos 36% SL</v>
          </cell>
          <cell r="D6" t="str">
            <v>San Mono</v>
          </cell>
          <cell r="E6" t="str">
            <v>100 ML</v>
          </cell>
          <cell r="F6">
            <v>48.257000000000005</v>
          </cell>
          <cell r="G6">
            <v>18</v>
          </cell>
          <cell r="H6">
            <v>10.593</v>
          </cell>
          <cell r="I6">
            <v>58.85</v>
          </cell>
        </row>
        <row r="7">
          <cell r="B7" t="str">
            <v>Sandhya</v>
          </cell>
          <cell r="C7" t="str">
            <v>Chlorpyrifos 20% EC</v>
          </cell>
          <cell r="D7" t="str">
            <v>San Chloro Super</v>
          </cell>
          <cell r="E7" t="str">
            <v>20000 ML</v>
          </cell>
          <cell r="F7">
            <v>4485.7936</v>
          </cell>
          <cell r="G7">
            <v>18</v>
          </cell>
          <cell r="H7">
            <v>984.68639999999994</v>
          </cell>
          <cell r="I7">
            <v>5470.48</v>
          </cell>
        </row>
        <row r="8">
          <cell r="B8" t="str">
            <v>Sandhya</v>
          </cell>
          <cell r="C8" t="str">
            <v>Chlorpyrifos 20% EC</v>
          </cell>
          <cell r="D8" t="str">
            <v>San Chloro Super</v>
          </cell>
          <cell r="E8" t="str">
            <v>5000 ML</v>
          </cell>
          <cell r="F8">
            <v>1162.8173999999999</v>
          </cell>
          <cell r="G8">
            <v>18</v>
          </cell>
          <cell r="H8">
            <v>255.25259999999997</v>
          </cell>
          <cell r="I8">
            <v>1418.07</v>
          </cell>
        </row>
        <row r="9">
          <cell r="B9" t="str">
            <v>Sandhya</v>
          </cell>
          <cell r="C9" t="str">
            <v>Chlorpyrifos 20% EC</v>
          </cell>
          <cell r="D9" t="str">
            <v>San Chloro Super</v>
          </cell>
          <cell r="E9" t="str">
            <v>1000 ML</v>
          </cell>
          <cell r="F9">
            <v>239.91559999999998</v>
          </cell>
          <cell r="G9">
            <v>18</v>
          </cell>
          <cell r="H9">
            <v>52.664399999999993</v>
          </cell>
          <cell r="I9">
            <v>292.58</v>
          </cell>
        </row>
        <row r="10">
          <cell r="B10" t="str">
            <v>Sandhya</v>
          </cell>
          <cell r="C10" t="str">
            <v>Chlorpyrifos 20% EC</v>
          </cell>
          <cell r="D10" t="str">
            <v>San Chloro Super</v>
          </cell>
          <cell r="E10" t="str">
            <v>500 ML</v>
          </cell>
          <cell r="F10">
            <v>128.23159999999999</v>
          </cell>
          <cell r="G10">
            <v>18</v>
          </cell>
          <cell r="H10">
            <v>28.148399999999999</v>
          </cell>
          <cell r="I10">
            <v>156.38</v>
          </cell>
        </row>
        <row r="11">
          <cell r="B11" t="str">
            <v>Sandhya</v>
          </cell>
          <cell r="C11" t="str">
            <v>Chlorpyrifos 20% EC</v>
          </cell>
          <cell r="D11" t="str">
            <v>San Chloro Super</v>
          </cell>
          <cell r="E11" t="str">
            <v>250 ML</v>
          </cell>
          <cell r="F11">
            <v>68.707800000000006</v>
          </cell>
          <cell r="G11">
            <v>18</v>
          </cell>
          <cell r="H11">
            <v>15.0822</v>
          </cell>
          <cell r="I11">
            <v>83.79</v>
          </cell>
        </row>
        <row r="12">
          <cell r="B12" t="str">
            <v>Sandhya</v>
          </cell>
          <cell r="C12" t="str">
            <v>Chlorpyrifos 20% EC</v>
          </cell>
          <cell r="D12" t="str">
            <v>San Chloro Super</v>
          </cell>
          <cell r="E12" t="str">
            <v>100 ML</v>
          </cell>
          <cell r="F12">
            <v>32.078400000000002</v>
          </cell>
          <cell r="G12">
            <v>18</v>
          </cell>
          <cell r="H12">
            <v>7.041599999999999</v>
          </cell>
          <cell r="I12">
            <v>39.119999999999997</v>
          </cell>
        </row>
        <row r="13">
          <cell r="B13" t="str">
            <v>Sandhya</v>
          </cell>
          <cell r="C13" t="str">
            <v>Chlorpyrifos 50% EC</v>
          </cell>
          <cell r="D13" t="str">
            <v>Sanchloro Extra</v>
          </cell>
          <cell r="E13" t="str">
            <v>5000 ML</v>
          </cell>
          <cell r="F13">
            <v>2123.6851999999999</v>
          </cell>
          <cell r="G13">
            <v>18</v>
          </cell>
          <cell r="H13">
            <v>466.1748</v>
          </cell>
          <cell r="I13">
            <v>2589.86</v>
          </cell>
        </row>
        <row r="14">
          <cell r="B14" t="str">
            <v>Sandhya</v>
          </cell>
          <cell r="C14" t="str">
            <v>Chlorpyrifos 50% EC</v>
          </cell>
          <cell r="D14" t="str">
            <v>Sanchloro Extra</v>
          </cell>
          <cell r="E14" t="str">
            <v>1000 ML</v>
          </cell>
          <cell r="F14">
            <v>431.935</v>
          </cell>
          <cell r="G14">
            <v>18</v>
          </cell>
          <cell r="H14">
            <v>94.814999999999998</v>
          </cell>
          <cell r="I14">
            <v>526.75</v>
          </cell>
        </row>
        <row r="15">
          <cell r="B15" t="str">
            <v>Sandhya</v>
          </cell>
          <cell r="C15" t="str">
            <v>Chlorpyrifos 50% EC</v>
          </cell>
          <cell r="D15" t="str">
            <v>Sanchloro Extra</v>
          </cell>
          <cell r="E15" t="str">
            <v>500 ML</v>
          </cell>
          <cell r="F15">
            <v>224.065</v>
          </cell>
          <cell r="G15">
            <v>18</v>
          </cell>
          <cell r="H15">
            <v>49.184999999999995</v>
          </cell>
          <cell r="I15">
            <v>273.25</v>
          </cell>
        </row>
        <row r="16">
          <cell r="B16" t="str">
            <v>Sandhya</v>
          </cell>
          <cell r="C16" t="str">
            <v>Chlorpyrifos 50% EC</v>
          </cell>
          <cell r="D16" t="str">
            <v>Sanchloro Extra</v>
          </cell>
          <cell r="E16" t="str">
            <v>250 ML</v>
          </cell>
          <cell r="F16">
            <v>116.53020000000001</v>
          </cell>
          <cell r="G16">
            <v>18</v>
          </cell>
          <cell r="H16">
            <v>25.579800000000002</v>
          </cell>
          <cell r="I16">
            <v>142.11000000000001</v>
          </cell>
        </row>
        <row r="17">
          <cell r="B17" t="str">
            <v>Sandhya</v>
          </cell>
          <cell r="C17" t="str">
            <v>Chlorpyrifos 50% EC</v>
          </cell>
          <cell r="D17" t="str">
            <v>Sanchloro Extra</v>
          </cell>
          <cell r="E17" t="str">
            <v>100 ML</v>
          </cell>
          <cell r="F17">
            <v>51.110599999999998</v>
          </cell>
          <cell r="G17">
            <v>18</v>
          </cell>
          <cell r="H17">
            <v>11.219399999999998</v>
          </cell>
          <cell r="I17">
            <v>62.33</v>
          </cell>
        </row>
        <row r="18">
          <cell r="B18" t="str">
            <v>Sandhya</v>
          </cell>
          <cell r="C18" t="str">
            <v>Chlorpyrifos 50% + Cypermethrin 5% EC</v>
          </cell>
          <cell r="D18" t="str">
            <v>Sanchloro C</v>
          </cell>
          <cell r="E18" t="str">
            <v>5000 ML</v>
          </cell>
          <cell r="F18">
            <v>2332.9738000000002</v>
          </cell>
          <cell r="G18">
            <v>18</v>
          </cell>
          <cell r="H18">
            <v>512.11620000000005</v>
          </cell>
          <cell r="I18">
            <v>2845.09</v>
          </cell>
        </row>
        <row r="19">
          <cell r="B19" t="str">
            <v>Sandhya</v>
          </cell>
          <cell r="C19" t="str">
            <v>Chlorpyrifos 50% + Cypermethrin 5% EC</v>
          </cell>
          <cell r="D19" t="str">
            <v>Sanchloro C</v>
          </cell>
          <cell r="E19" t="str">
            <v>1000 ML</v>
          </cell>
          <cell r="F19">
            <v>473.96820000000002</v>
          </cell>
          <cell r="G19">
            <v>18</v>
          </cell>
          <cell r="H19">
            <v>104.04179999999999</v>
          </cell>
          <cell r="I19">
            <v>578.01</v>
          </cell>
        </row>
        <row r="20">
          <cell r="B20" t="str">
            <v>Sandhya</v>
          </cell>
          <cell r="C20" t="str">
            <v>Chlorpyrifos 50% + Cypermethrin 5% EC</v>
          </cell>
          <cell r="D20" t="str">
            <v>Sanchloro C</v>
          </cell>
          <cell r="E20" t="str">
            <v>500 ML</v>
          </cell>
          <cell r="F20">
            <v>245.28659999999999</v>
          </cell>
          <cell r="G20">
            <v>18</v>
          </cell>
          <cell r="H20">
            <v>53.843399999999995</v>
          </cell>
          <cell r="I20">
            <v>299.13</v>
          </cell>
        </row>
        <row r="21">
          <cell r="B21" t="str">
            <v>Sandhya</v>
          </cell>
          <cell r="C21" t="str">
            <v>Chlorpyrifos 50% + Cypermethrin 5% EC</v>
          </cell>
          <cell r="D21" t="str">
            <v>Sanchloro C</v>
          </cell>
          <cell r="E21" t="str">
            <v>250 ML</v>
          </cell>
          <cell r="F21">
            <v>127.25579999999999</v>
          </cell>
          <cell r="G21">
            <v>18</v>
          </cell>
          <cell r="H21">
            <v>27.934199999999997</v>
          </cell>
          <cell r="I21">
            <v>155.19</v>
          </cell>
        </row>
        <row r="22">
          <cell r="B22" t="str">
            <v>Sandhya</v>
          </cell>
          <cell r="C22" t="str">
            <v>Chlorpyrifos 50% + Cypermethrin 5% EC</v>
          </cell>
          <cell r="D22" t="str">
            <v>Sanchloro C</v>
          </cell>
          <cell r="E22" t="str">
            <v>100 ML</v>
          </cell>
          <cell r="F22">
            <v>55.514000000000003</v>
          </cell>
          <cell r="G22">
            <v>18</v>
          </cell>
          <cell r="H22">
            <v>12.186</v>
          </cell>
          <cell r="I22">
            <v>67.7</v>
          </cell>
        </row>
        <row r="23">
          <cell r="B23" t="str">
            <v>Sandhya</v>
          </cell>
          <cell r="C23" t="str">
            <v>Profenophos 50% EC</v>
          </cell>
          <cell r="D23" t="str">
            <v>Sanpro 50</v>
          </cell>
          <cell r="E23" t="str">
            <v>5000 ML</v>
          </cell>
          <cell r="F23">
            <v>2213.672</v>
          </cell>
          <cell r="G23">
            <v>18</v>
          </cell>
          <cell r="H23">
            <v>485.92799999999994</v>
          </cell>
          <cell r="I23">
            <v>2699.6</v>
          </cell>
        </row>
        <row r="24">
          <cell r="B24" t="str">
            <v>Sandhya</v>
          </cell>
          <cell r="C24" t="str">
            <v>Profenophos 50% EC</v>
          </cell>
          <cell r="D24" t="str">
            <v>Sanpro 50</v>
          </cell>
          <cell r="E24" t="str">
            <v>1000 ML</v>
          </cell>
          <cell r="F24">
            <v>449.93400000000003</v>
          </cell>
          <cell r="G24">
            <v>18</v>
          </cell>
          <cell r="H24">
            <v>98.766000000000005</v>
          </cell>
          <cell r="I24">
            <v>548.70000000000005</v>
          </cell>
        </row>
        <row r="25">
          <cell r="B25" t="str">
            <v>Sandhya</v>
          </cell>
          <cell r="C25" t="str">
            <v>Profenophos 50% EC</v>
          </cell>
          <cell r="D25" t="str">
            <v>Sanpro 50</v>
          </cell>
          <cell r="E25" t="str">
            <v>500 ML</v>
          </cell>
          <cell r="F25">
            <v>233.9624</v>
          </cell>
          <cell r="G25">
            <v>18</v>
          </cell>
          <cell r="H25">
            <v>51.357599999999998</v>
          </cell>
          <cell r="I25">
            <v>285.32</v>
          </cell>
        </row>
        <row r="26">
          <cell r="B26" t="str">
            <v>Sandhya</v>
          </cell>
          <cell r="C26" t="str">
            <v>Profenophos 50% EC</v>
          </cell>
          <cell r="D26" t="str">
            <v>Sanpro 50</v>
          </cell>
          <cell r="E26" t="str">
            <v>250 ML</v>
          </cell>
          <cell r="F26">
            <v>121.483</v>
          </cell>
          <cell r="G26">
            <v>18</v>
          </cell>
          <cell r="H26">
            <v>26.667000000000002</v>
          </cell>
          <cell r="I26">
            <v>148.15</v>
          </cell>
        </row>
        <row r="27">
          <cell r="B27" t="str">
            <v>Sandhya</v>
          </cell>
          <cell r="C27" t="str">
            <v>Profenophos 50% EC</v>
          </cell>
          <cell r="D27" t="str">
            <v>Sanpro 50</v>
          </cell>
          <cell r="E27" t="str">
            <v>100 ML</v>
          </cell>
          <cell r="F27">
            <v>53.094999999999999</v>
          </cell>
          <cell r="G27">
            <v>18</v>
          </cell>
          <cell r="H27">
            <v>11.654999999999999</v>
          </cell>
          <cell r="I27">
            <v>64.75</v>
          </cell>
        </row>
        <row r="28">
          <cell r="B28" t="str">
            <v>Sandhya</v>
          </cell>
          <cell r="C28" t="str">
            <v>Profenophos 40% + Cypermethrin 4% EC</v>
          </cell>
          <cell r="D28" t="str">
            <v>Sancyprof 4</v>
          </cell>
          <cell r="E28" t="str">
            <v>5000 ML</v>
          </cell>
          <cell r="F28">
            <v>2168.6786000000002</v>
          </cell>
          <cell r="G28">
            <v>18</v>
          </cell>
          <cell r="H28">
            <v>476.0514</v>
          </cell>
          <cell r="I28">
            <v>2644.73</v>
          </cell>
        </row>
        <row r="29">
          <cell r="B29" t="str">
            <v>Sandhya</v>
          </cell>
          <cell r="C29" t="str">
            <v>Profenophos 40% + Cypermethrin 4% EC</v>
          </cell>
          <cell r="D29" t="str">
            <v>Sancyprof 4</v>
          </cell>
          <cell r="E29" t="str">
            <v>1000 ML</v>
          </cell>
          <cell r="F29">
            <v>440.93860000000001</v>
          </cell>
          <cell r="G29">
            <v>18</v>
          </cell>
          <cell r="H29">
            <v>96.791399999999996</v>
          </cell>
          <cell r="I29">
            <v>537.73</v>
          </cell>
        </row>
        <row r="30">
          <cell r="B30" t="str">
            <v>Sandhya</v>
          </cell>
          <cell r="C30" t="str">
            <v>Profenophos 40% + Cypermethrin 4% EC</v>
          </cell>
          <cell r="D30" t="str">
            <v>Sancyprof 4</v>
          </cell>
          <cell r="E30" t="str">
            <v>500 ML</v>
          </cell>
          <cell r="F30">
            <v>228.5668</v>
          </cell>
          <cell r="G30">
            <v>18</v>
          </cell>
          <cell r="H30">
            <v>50.173200000000001</v>
          </cell>
          <cell r="I30">
            <v>278.74</v>
          </cell>
        </row>
        <row r="31">
          <cell r="B31" t="str">
            <v>Sandhya</v>
          </cell>
          <cell r="C31" t="str">
            <v>Profenophos 40% + Cypermethrin 4% EC</v>
          </cell>
          <cell r="D31" t="str">
            <v>Sancyprof 4</v>
          </cell>
          <cell r="E31" t="str">
            <v>250 ML</v>
          </cell>
          <cell r="F31">
            <v>118.78520000000002</v>
          </cell>
          <cell r="G31">
            <v>18</v>
          </cell>
          <cell r="H31">
            <v>26.0748</v>
          </cell>
          <cell r="I31">
            <v>144.86000000000001</v>
          </cell>
        </row>
        <row r="32">
          <cell r="B32" t="str">
            <v>Sandhya</v>
          </cell>
          <cell r="C32" t="str">
            <v>Profenophos 40% + Cypermethrin 4% EC</v>
          </cell>
          <cell r="D32" t="str">
            <v>Sancyprof 4</v>
          </cell>
          <cell r="E32" t="str">
            <v>100 ML</v>
          </cell>
          <cell r="F32">
            <v>52.012599999999999</v>
          </cell>
          <cell r="G32">
            <v>18</v>
          </cell>
          <cell r="H32">
            <v>11.417399999999999</v>
          </cell>
          <cell r="I32">
            <v>63.43</v>
          </cell>
        </row>
        <row r="33">
          <cell r="B33" t="str">
            <v>Sandhya</v>
          </cell>
          <cell r="C33" t="str">
            <v>Emamectin Benzoate 1.9% EC</v>
          </cell>
          <cell r="D33" t="str">
            <v>Sanbenzo Plus</v>
          </cell>
          <cell r="E33" t="str">
            <v>5000 ML</v>
          </cell>
          <cell r="F33">
            <v>2983.0616</v>
          </cell>
          <cell r="G33">
            <v>18</v>
          </cell>
          <cell r="H33">
            <v>654.8184</v>
          </cell>
          <cell r="I33">
            <v>3637.88</v>
          </cell>
        </row>
        <row r="34">
          <cell r="B34" t="str">
            <v>Sandhya</v>
          </cell>
          <cell r="C34" t="str">
            <v>Emamectin Benzoate 1.9% EC</v>
          </cell>
          <cell r="D34" t="str">
            <v>Sanbenzo Plus</v>
          </cell>
          <cell r="E34" t="str">
            <v>1000 ML</v>
          </cell>
          <cell r="F34">
            <v>603.8152</v>
          </cell>
          <cell r="G34">
            <v>18</v>
          </cell>
          <cell r="H34">
            <v>132.54480000000001</v>
          </cell>
          <cell r="I34">
            <v>736.36</v>
          </cell>
        </row>
        <row r="35">
          <cell r="B35" t="str">
            <v>Sandhya</v>
          </cell>
          <cell r="C35" t="str">
            <v>Emamectin Benzoate 1.9% EC</v>
          </cell>
          <cell r="D35" t="str">
            <v>Sanbenzo Plus</v>
          </cell>
          <cell r="E35" t="str">
            <v>500 ML</v>
          </cell>
          <cell r="F35">
            <v>309.5582</v>
          </cell>
          <cell r="G35">
            <v>18</v>
          </cell>
          <cell r="H35">
            <v>67.951799999999992</v>
          </cell>
          <cell r="I35">
            <v>377.51</v>
          </cell>
        </row>
        <row r="36">
          <cell r="B36" t="str">
            <v>Sandhya</v>
          </cell>
          <cell r="C36" t="str">
            <v>Emamectin Benzoate 1.9% EC</v>
          </cell>
          <cell r="D36" t="str">
            <v>Sanbenzo Plus</v>
          </cell>
          <cell r="E36" t="str">
            <v>250 ML</v>
          </cell>
          <cell r="F36">
            <v>159.27680000000001</v>
          </cell>
          <cell r="G36">
            <v>18</v>
          </cell>
          <cell r="H36">
            <v>34.963200000000001</v>
          </cell>
          <cell r="I36">
            <v>194.24</v>
          </cell>
        </row>
        <row r="37">
          <cell r="B37" t="str">
            <v>Sandhya</v>
          </cell>
          <cell r="C37" t="str">
            <v>Emamectin Benzoate 1.9% EC</v>
          </cell>
          <cell r="D37" t="str">
            <v>Sanbenzo Plus</v>
          </cell>
          <cell r="E37" t="str">
            <v>100 ML</v>
          </cell>
          <cell r="F37">
            <v>68.207600000000014</v>
          </cell>
          <cell r="G37">
            <v>18</v>
          </cell>
          <cell r="H37">
            <v>14.9724</v>
          </cell>
          <cell r="I37">
            <v>83.18</v>
          </cell>
        </row>
        <row r="38">
          <cell r="B38" t="str">
            <v>Sandhya</v>
          </cell>
          <cell r="C38" t="str">
            <v>Emamectin Benzoate 5% SG</v>
          </cell>
          <cell r="D38" t="str">
            <v>San Benzo</v>
          </cell>
          <cell r="E38" t="str">
            <v>1000 GMS</v>
          </cell>
          <cell r="F38">
            <v>818.87660000000005</v>
          </cell>
          <cell r="G38">
            <v>18</v>
          </cell>
          <cell r="H38">
            <v>179.7534</v>
          </cell>
          <cell r="I38">
            <v>998.63</v>
          </cell>
        </row>
        <row r="39">
          <cell r="B39" t="str">
            <v>Sandhya</v>
          </cell>
          <cell r="C39" t="str">
            <v>Emamectin Benzoate 5% SG</v>
          </cell>
          <cell r="D39" t="str">
            <v>San Benzo</v>
          </cell>
          <cell r="E39" t="str">
            <v>500 GMS</v>
          </cell>
          <cell r="F39">
            <v>427.44139999999999</v>
          </cell>
          <cell r="G39">
            <v>18</v>
          </cell>
          <cell r="H39">
            <v>93.828599999999994</v>
          </cell>
          <cell r="I39">
            <v>521.27</v>
          </cell>
        </row>
        <row r="40">
          <cell r="B40" t="str">
            <v>Sandhya</v>
          </cell>
          <cell r="C40" t="str">
            <v>Emamectin Benzoate 5% SG</v>
          </cell>
          <cell r="D40" t="str">
            <v>San Benzo</v>
          </cell>
          <cell r="E40" t="str">
            <v>250 GMS</v>
          </cell>
          <cell r="F40">
            <v>225.41799999999998</v>
          </cell>
          <cell r="G40">
            <v>18</v>
          </cell>
          <cell r="H40">
            <v>49.481999999999992</v>
          </cell>
          <cell r="I40">
            <v>274.89999999999998</v>
          </cell>
        </row>
        <row r="41">
          <cell r="B41" t="str">
            <v>Sandhya</v>
          </cell>
          <cell r="C41" t="str">
            <v>Emamectin Benzoate 5% SG</v>
          </cell>
          <cell r="D41" t="str">
            <v>San Benzo</v>
          </cell>
          <cell r="E41" t="str">
            <v>100 GMS</v>
          </cell>
          <cell r="F41">
            <v>93.766999999999996</v>
          </cell>
          <cell r="G41">
            <v>18</v>
          </cell>
          <cell r="H41">
            <v>20.582999999999998</v>
          </cell>
          <cell r="I41">
            <v>114.35</v>
          </cell>
        </row>
        <row r="42">
          <cell r="B42" t="str">
            <v>Sandhya</v>
          </cell>
          <cell r="C42" t="str">
            <v>Emamectin Benzoate 5% SG</v>
          </cell>
          <cell r="D42" t="str">
            <v>San Benzo</v>
          </cell>
          <cell r="E42" t="str">
            <v>50 GMS</v>
          </cell>
          <cell r="F42">
            <v>48.232399999999998</v>
          </cell>
          <cell r="G42">
            <v>18</v>
          </cell>
          <cell r="H42">
            <v>10.5876</v>
          </cell>
          <cell r="I42">
            <v>58.82</v>
          </cell>
        </row>
        <row r="43">
          <cell r="B43" t="str">
            <v>Sandhya</v>
          </cell>
          <cell r="C43" t="str">
            <v>Emamectin Benzoate 5% SG</v>
          </cell>
          <cell r="D43" t="str">
            <v>San Benzo</v>
          </cell>
          <cell r="E43" t="str">
            <v>10 GMS</v>
          </cell>
          <cell r="F43">
            <v>10.004</v>
          </cell>
          <cell r="G43">
            <v>18</v>
          </cell>
          <cell r="H43">
            <v>2.1959999999999997</v>
          </cell>
          <cell r="I43">
            <v>12.2</v>
          </cell>
        </row>
        <row r="44">
          <cell r="B44" t="str">
            <v>Sandhya</v>
          </cell>
          <cell r="C44" t="str">
            <v>Thiamethoxam 25% WG</v>
          </cell>
          <cell r="D44" t="str">
            <v>San Thia</v>
          </cell>
          <cell r="E44" t="str">
            <v>1000 GMS</v>
          </cell>
          <cell r="F44">
            <v>467.03099999999995</v>
          </cell>
          <cell r="G44">
            <v>18</v>
          </cell>
          <cell r="H44">
            <v>102.51899999999999</v>
          </cell>
          <cell r="I44">
            <v>569.54999999999995</v>
          </cell>
        </row>
        <row r="45">
          <cell r="B45" t="str">
            <v>Sandhya</v>
          </cell>
          <cell r="C45" t="str">
            <v>Thiamethoxam 25% WG</v>
          </cell>
          <cell r="D45" t="str">
            <v>San Thia</v>
          </cell>
          <cell r="E45" t="str">
            <v>500 GMS</v>
          </cell>
          <cell r="F45">
            <v>256.01220000000001</v>
          </cell>
          <cell r="G45">
            <v>18</v>
          </cell>
          <cell r="H45">
            <v>56.197799999999994</v>
          </cell>
          <cell r="I45">
            <v>312.20999999999998</v>
          </cell>
        </row>
        <row r="46">
          <cell r="B46" t="str">
            <v>Sandhya</v>
          </cell>
          <cell r="C46" t="str">
            <v>Thiamethoxam 25% WG</v>
          </cell>
          <cell r="D46" t="str">
            <v>San Thia</v>
          </cell>
          <cell r="E46" t="str">
            <v>250 GMS</v>
          </cell>
          <cell r="F46">
            <v>137.00560000000002</v>
          </cell>
          <cell r="G46">
            <v>18</v>
          </cell>
          <cell r="H46">
            <v>30.074400000000001</v>
          </cell>
          <cell r="I46">
            <v>167.08</v>
          </cell>
        </row>
        <row r="47">
          <cell r="B47" t="str">
            <v>Sandhya</v>
          </cell>
          <cell r="C47" t="str">
            <v>Thiamethoxam 25% WG</v>
          </cell>
          <cell r="D47" t="str">
            <v>San Thia</v>
          </cell>
          <cell r="E47" t="str">
            <v>100 GMS</v>
          </cell>
          <cell r="F47">
            <v>58.400399999999998</v>
          </cell>
          <cell r="G47">
            <v>18</v>
          </cell>
          <cell r="H47">
            <v>12.819599999999999</v>
          </cell>
          <cell r="I47">
            <v>71.22</v>
          </cell>
        </row>
        <row r="48">
          <cell r="B48" t="str">
            <v>Sandhya</v>
          </cell>
          <cell r="C48" t="str">
            <v>Thiamethoxam 30% FS</v>
          </cell>
          <cell r="D48" t="str">
            <v>San Thia +</v>
          </cell>
          <cell r="E48" t="str">
            <v>5000 ML</v>
          </cell>
          <cell r="F48">
            <v>2672.1995999999999</v>
          </cell>
          <cell r="G48">
            <v>18</v>
          </cell>
          <cell r="H48">
            <v>586.58040000000005</v>
          </cell>
          <cell r="I48">
            <v>3258.78</v>
          </cell>
        </row>
        <row r="49">
          <cell r="B49" t="str">
            <v>Sandhya</v>
          </cell>
          <cell r="C49" t="str">
            <v>Thiamethoxam 30% FS</v>
          </cell>
          <cell r="D49" t="str">
            <v>San Thia +</v>
          </cell>
          <cell r="E49" t="str">
            <v>1000 ML</v>
          </cell>
          <cell r="F49">
            <v>541.65919999999994</v>
          </cell>
          <cell r="G49">
            <v>18</v>
          </cell>
          <cell r="H49">
            <v>118.90079999999999</v>
          </cell>
          <cell r="I49">
            <v>660.56</v>
          </cell>
        </row>
        <row r="50">
          <cell r="B50" t="str">
            <v>Sandhya</v>
          </cell>
          <cell r="C50" t="str">
            <v>Thiamethoxam 30% FS</v>
          </cell>
          <cell r="D50" t="str">
            <v>San Thia +</v>
          </cell>
          <cell r="E50" t="str">
            <v>500 ML</v>
          </cell>
          <cell r="F50">
            <v>278.50479999999999</v>
          </cell>
          <cell r="G50">
            <v>18</v>
          </cell>
          <cell r="H50">
            <v>61.135199999999998</v>
          </cell>
          <cell r="I50">
            <v>339.64</v>
          </cell>
        </row>
        <row r="51">
          <cell r="B51" t="str">
            <v>Sandhya</v>
          </cell>
          <cell r="C51" t="str">
            <v>Thiamethoxam 30% FS</v>
          </cell>
          <cell r="D51" t="str">
            <v>San Thia +</v>
          </cell>
          <cell r="E51" t="str">
            <v>250 ML</v>
          </cell>
          <cell r="F51">
            <v>143.76239999999999</v>
          </cell>
          <cell r="G51">
            <v>18</v>
          </cell>
          <cell r="H51">
            <v>31.557599999999997</v>
          </cell>
          <cell r="I51">
            <v>175.32</v>
          </cell>
        </row>
        <row r="52">
          <cell r="B52" t="str">
            <v>Sandhya</v>
          </cell>
          <cell r="C52" t="str">
            <v>Thiamethoxam 30% FS</v>
          </cell>
          <cell r="D52" t="str">
            <v>San Thia +</v>
          </cell>
          <cell r="E52" t="str">
            <v>100 ML</v>
          </cell>
          <cell r="F52">
            <v>61.114600000000003</v>
          </cell>
          <cell r="G52">
            <v>18</v>
          </cell>
          <cell r="H52">
            <v>13.4154</v>
          </cell>
          <cell r="I52">
            <v>74.53</v>
          </cell>
        </row>
        <row r="53">
          <cell r="B53" t="str">
            <v>Sandhya</v>
          </cell>
          <cell r="C53" t="str">
            <v xml:space="preserve">Quinalphos 25% EC </v>
          </cell>
          <cell r="D53" t="str">
            <v>San Quin</v>
          </cell>
          <cell r="E53" t="str">
            <v>20000 ML</v>
          </cell>
          <cell r="F53">
            <v>8620.7338</v>
          </cell>
          <cell r="G53">
            <v>18</v>
          </cell>
          <cell r="H53">
            <v>1892.3561999999999</v>
          </cell>
          <cell r="I53">
            <v>10513.09</v>
          </cell>
        </row>
        <row r="54">
          <cell r="B54" t="str">
            <v>Sandhya</v>
          </cell>
          <cell r="C54" t="str">
            <v xml:space="preserve">Quinalphos 25% EC </v>
          </cell>
          <cell r="D54" t="str">
            <v>San Quin</v>
          </cell>
          <cell r="E54" t="str">
            <v>5000 ML</v>
          </cell>
          <cell r="F54">
            <v>2191.1794</v>
          </cell>
          <cell r="G54">
            <v>18</v>
          </cell>
          <cell r="H54">
            <v>480.99059999999997</v>
          </cell>
          <cell r="I54">
            <v>2672.17</v>
          </cell>
        </row>
        <row r="55">
          <cell r="B55" t="str">
            <v>Sandhya</v>
          </cell>
          <cell r="C55" t="str">
            <v xml:space="preserve">Quinalphos 25% EC </v>
          </cell>
          <cell r="D55" t="str">
            <v>San Quin</v>
          </cell>
          <cell r="E55" t="str">
            <v>1000 ML</v>
          </cell>
          <cell r="F55">
            <v>445.43220000000002</v>
          </cell>
          <cell r="G55">
            <v>18</v>
          </cell>
          <cell r="H55">
            <v>97.777799999999999</v>
          </cell>
          <cell r="I55">
            <v>543.21</v>
          </cell>
        </row>
        <row r="56">
          <cell r="B56" t="str">
            <v>Sandhya</v>
          </cell>
          <cell r="C56" t="str">
            <v xml:space="preserve">Quinalphos 25% EC </v>
          </cell>
          <cell r="D56" t="str">
            <v>San Quin</v>
          </cell>
          <cell r="E56" t="str">
            <v>500 ML</v>
          </cell>
          <cell r="F56">
            <v>230.81360000000001</v>
          </cell>
          <cell r="G56">
            <v>18</v>
          </cell>
          <cell r="H56">
            <v>50.666400000000003</v>
          </cell>
          <cell r="I56">
            <v>281.48</v>
          </cell>
        </row>
        <row r="57">
          <cell r="B57" t="str">
            <v>Sandhya</v>
          </cell>
          <cell r="C57" t="str">
            <v xml:space="preserve">Quinalphos 25% EC </v>
          </cell>
          <cell r="D57" t="str">
            <v>San Quin</v>
          </cell>
          <cell r="E57" t="str">
            <v>250 ML</v>
          </cell>
          <cell r="F57">
            <v>119.90859999999999</v>
          </cell>
          <cell r="G57">
            <v>18</v>
          </cell>
          <cell r="H57">
            <v>26.321399999999997</v>
          </cell>
          <cell r="I57">
            <v>146.22999999999999</v>
          </cell>
        </row>
        <row r="58">
          <cell r="B58" t="str">
            <v>Sandhya</v>
          </cell>
          <cell r="C58" t="str">
            <v xml:space="preserve">Quinalphos 25% EC </v>
          </cell>
          <cell r="D58" t="str">
            <v>San Quin</v>
          </cell>
          <cell r="E58" t="str">
            <v>100 ML</v>
          </cell>
          <cell r="F58">
            <v>52.4636</v>
          </cell>
          <cell r="G58">
            <v>18</v>
          </cell>
          <cell r="H58">
            <v>11.516399999999999</v>
          </cell>
          <cell r="I58">
            <v>63.98</v>
          </cell>
        </row>
        <row r="59">
          <cell r="B59" t="str">
            <v>Sandhya</v>
          </cell>
          <cell r="C59" t="str">
            <v>Fipronil 5% SC</v>
          </cell>
          <cell r="D59" t="str">
            <v>San Fipro Super</v>
          </cell>
          <cell r="E59" t="str">
            <v>5000 ML</v>
          </cell>
          <cell r="F59">
            <v>2393.6455999999998</v>
          </cell>
          <cell r="G59">
            <v>18</v>
          </cell>
          <cell r="H59">
            <v>525.43439999999998</v>
          </cell>
          <cell r="I59">
            <v>2919.08</v>
          </cell>
        </row>
        <row r="60">
          <cell r="B60" t="str">
            <v>Sandhya</v>
          </cell>
          <cell r="C60" t="str">
            <v>Fipronil 5% SC</v>
          </cell>
          <cell r="D60" t="str">
            <v>San Fipro Super</v>
          </cell>
          <cell r="E60" t="str">
            <v>1000 ML</v>
          </cell>
          <cell r="F60">
            <v>485.93200000000002</v>
          </cell>
          <cell r="G60">
            <v>18</v>
          </cell>
          <cell r="H60">
            <v>106.66800000000001</v>
          </cell>
          <cell r="I60">
            <v>592.6</v>
          </cell>
        </row>
        <row r="61">
          <cell r="B61" t="str">
            <v>Sandhya</v>
          </cell>
          <cell r="C61" t="str">
            <v>Fipronil 5% SC</v>
          </cell>
          <cell r="D61" t="str">
            <v>San Fipro Super</v>
          </cell>
          <cell r="E61" t="str">
            <v>500 ML</v>
          </cell>
          <cell r="F61">
            <v>250.61660000000001</v>
          </cell>
          <cell r="G61">
            <v>18</v>
          </cell>
          <cell r="H61">
            <v>55.013399999999997</v>
          </cell>
          <cell r="I61">
            <v>305.63</v>
          </cell>
        </row>
        <row r="62">
          <cell r="B62" t="str">
            <v>Sandhya</v>
          </cell>
          <cell r="C62" t="str">
            <v>Fipronil 5% SC</v>
          </cell>
          <cell r="D62" t="str">
            <v>San Fipro Super</v>
          </cell>
          <cell r="E62" t="str">
            <v>250 ML</v>
          </cell>
          <cell r="F62">
            <v>129.80600000000001</v>
          </cell>
          <cell r="G62">
            <v>18</v>
          </cell>
          <cell r="H62">
            <v>28.494</v>
          </cell>
          <cell r="I62">
            <v>158.30000000000001</v>
          </cell>
        </row>
        <row r="63">
          <cell r="B63" t="str">
            <v>Sandhya</v>
          </cell>
          <cell r="C63" t="str">
            <v>Fipronil 5% SC</v>
          </cell>
          <cell r="D63" t="str">
            <v>San Fipro Super</v>
          </cell>
          <cell r="E63" t="str">
            <v>100 ML</v>
          </cell>
          <cell r="F63">
            <v>55.522199999999998</v>
          </cell>
          <cell r="G63">
            <v>18</v>
          </cell>
          <cell r="H63">
            <v>12.187799999999999</v>
          </cell>
          <cell r="I63">
            <v>67.709999999999994</v>
          </cell>
        </row>
        <row r="64">
          <cell r="B64" t="str">
            <v>Sandhya</v>
          </cell>
          <cell r="C64" t="str">
            <v>Fipronil 0.3% GR</v>
          </cell>
          <cell r="D64" t="str">
            <v>San Fipro 0.3</v>
          </cell>
          <cell r="E64" t="str">
            <v>5000 GMS</v>
          </cell>
          <cell r="F64">
            <v>283.45760000000001</v>
          </cell>
          <cell r="G64">
            <v>18</v>
          </cell>
          <cell r="H64">
            <v>62.2224</v>
          </cell>
          <cell r="I64">
            <v>345.68</v>
          </cell>
        </row>
        <row r="65">
          <cell r="B65" t="str">
            <v>Sandhya</v>
          </cell>
          <cell r="C65" t="str">
            <v>Fipronil 0.3% GR</v>
          </cell>
          <cell r="D65" t="str">
            <v>San Fipro 0.3</v>
          </cell>
          <cell r="E65" t="str">
            <v>1000 GMS</v>
          </cell>
          <cell r="F65">
            <v>59.392600000000009</v>
          </cell>
          <cell r="G65">
            <v>18</v>
          </cell>
          <cell r="H65">
            <v>13.0374</v>
          </cell>
          <cell r="I65">
            <v>72.430000000000007</v>
          </cell>
        </row>
        <row r="66">
          <cell r="B66" t="str">
            <v>Sandhya</v>
          </cell>
          <cell r="C66" t="str">
            <v>Fipronil 40% + Imidacloprid 40% WG</v>
          </cell>
          <cell r="D66" t="str">
            <v>San Fipro I +</v>
          </cell>
          <cell r="E66" t="str">
            <v>250 GMS</v>
          </cell>
          <cell r="F66">
            <v>915.66120000000001</v>
          </cell>
          <cell r="G66">
            <v>18</v>
          </cell>
          <cell r="H66">
            <v>200.99880000000002</v>
          </cell>
          <cell r="I66">
            <v>1116.6600000000001</v>
          </cell>
        </row>
        <row r="67">
          <cell r="B67" t="str">
            <v>Sandhya</v>
          </cell>
          <cell r="C67" t="str">
            <v>Fipronil 40% + Imidacloprid 40% WG</v>
          </cell>
          <cell r="D67" t="str">
            <v>San Fipro I +</v>
          </cell>
          <cell r="E67" t="str">
            <v>100 GMS</v>
          </cell>
          <cell r="F67">
            <v>372.56700000000001</v>
          </cell>
          <cell r="G67">
            <v>18</v>
          </cell>
          <cell r="H67">
            <v>81.783000000000001</v>
          </cell>
          <cell r="I67">
            <v>454.35</v>
          </cell>
        </row>
        <row r="68">
          <cell r="B68" t="str">
            <v>Sandhya</v>
          </cell>
          <cell r="C68" t="str">
            <v>Fipronil 40% + Imidacloprid 40% WG</v>
          </cell>
          <cell r="D68" t="str">
            <v>San Fipro I +</v>
          </cell>
          <cell r="E68" t="str">
            <v>40 GMS</v>
          </cell>
          <cell r="F68">
            <v>150.47</v>
          </cell>
          <cell r="G68">
            <v>18</v>
          </cell>
          <cell r="H68">
            <v>33.03</v>
          </cell>
          <cell r="I68">
            <v>183.5</v>
          </cell>
        </row>
        <row r="69">
          <cell r="B69" t="str">
            <v>Sandhya</v>
          </cell>
          <cell r="C69" t="str">
            <v>Acetamiprid 20% SP</v>
          </cell>
          <cell r="D69" t="str">
            <v>San A-20</v>
          </cell>
          <cell r="E69" t="str">
            <v>1000 GMS</v>
          </cell>
          <cell r="F69">
            <v>519.798</v>
          </cell>
          <cell r="G69">
            <v>18</v>
          </cell>
          <cell r="H69">
            <v>114.10199999999999</v>
          </cell>
          <cell r="I69">
            <v>633.9</v>
          </cell>
        </row>
        <row r="70">
          <cell r="B70" t="str">
            <v>Sandhya</v>
          </cell>
          <cell r="C70" t="str">
            <v>Acetamiprid 20% SP</v>
          </cell>
          <cell r="D70" t="str">
            <v>San A-20</v>
          </cell>
          <cell r="E70" t="str">
            <v>500 GMS</v>
          </cell>
          <cell r="F70">
            <v>268.46799999999996</v>
          </cell>
          <cell r="G70">
            <v>18</v>
          </cell>
          <cell r="H70">
            <v>58.931999999999995</v>
          </cell>
          <cell r="I70">
            <v>327.39999999999998</v>
          </cell>
        </row>
        <row r="71">
          <cell r="B71" t="str">
            <v>Sandhya</v>
          </cell>
          <cell r="C71" t="str">
            <v>Acetamiprid 20% SP</v>
          </cell>
          <cell r="D71" t="str">
            <v>San A-20</v>
          </cell>
          <cell r="E71" t="str">
            <v>250 GMS</v>
          </cell>
          <cell r="F71">
            <v>139.4</v>
          </cell>
          <cell r="G71">
            <v>18</v>
          </cell>
          <cell r="H71">
            <v>30.599999999999998</v>
          </cell>
          <cell r="I71">
            <v>170</v>
          </cell>
        </row>
        <row r="72">
          <cell r="B72" t="str">
            <v>Sandhya</v>
          </cell>
          <cell r="C72" t="str">
            <v>Acetamiprid 20% SP</v>
          </cell>
          <cell r="D72" t="str">
            <v>San A-20</v>
          </cell>
          <cell r="E72" t="str">
            <v>100 GMS</v>
          </cell>
          <cell r="F72">
            <v>59.778000000000006</v>
          </cell>
          <cell r="G72">
            <v>18</v>
          </cell>
          <cell r="H72">
            <v>13.122</v>
          </cell>
          <cell r="I72">
            <v>72.900000000000006</v>
          </cell>
        </row>
        <row r="73">
          <cell r="B73" t="str">
            <v>Sandhya</v>
          </cell>
          <cell r="C73" t="str">
            <v>Bifenthrin 10% EC</v>
          </cell>
          <cell r="D73" t="str">
            <v>San Bif 10</v>
          </cell>
          <cell r="E73" t="str">
            <v>5000 ML</v>
          </cell>
          <cell r="F73">
            <v>1999.3978</v>
          </cell>
          <cell r="G73">
            <v>18</v>
          </cell>
          <cell r="H73">
            <v>438.8922</v>
          </cell>
          <cell r="I73">
            <v>2438.29</v>
          </cell>
        </row>
        <row r="74">
          <cell r="B74" t="str">
            <v>Sandhya</v>
          </cell>
          <cell r="C74" t="str">
            <v>Bifenthrin 10% EC</v>
          </cell>
          <cell r="D74" t="str">
            <v>San Bif 10</v>
          </cell>
          <cell r="E74" t="str">
            <v>1000 ML</v>
          </cell>
          <cell r="F74">
            <v>407.12180000000001</v>
          </cell>
          <cell r="G74">
            <v>18</v>
          </cell>
          <cell r="H74">
            <v>89.368200000000002</v>
          </cell>
          <cell r="I74">
            <v>496.49</v>
          </cell>
        </row>
        <row r="75">
          <cell r="B75" t="str">
            <v>Sandhya</v>
          </cell>
          <cell r="C75" t="str">
            <v>Bifenthrin 10% EC</v>
          </cell>
          <cell r="D75" t="str">
            <v>San Bif 10</v>
          </cell>
          <cell r="E75" t="str">
            <v>500 ML</v>
          </cell>
          <cell r="F75">
            <v>211.69940000000003</v>
          </cell>
          <cell r="G75">
            <v>18</v>
          </cell>
          <cell r="H75">
            <v>46.470600000000005</v>
          </cell>
          <cell r="I75">
            <v>258.17</v>
          </cell>
        </row>
        <row r="76">
          <cell r="B76" t="str">
            <v>Sandhya</v>
          </cell>
          <cell r="C76" t="str">
            <v>Bifenthrin 10% EC</v>
          </cell>
          <cell r="D76" t="str">
            <v>San Bif 10</v>
          </cell>
          <cell r="E76" t="str">
            <v>250 ML</v>
          </cell>
          <cell r="F76">
            <v>110.372</v>
          </cell>
          <cell r="G76">
            <v>18</v>
          </cell>
          <cell r="H76">
            <v>24.227999999999998</v>
          </cell>
          <cell r="I76">
            <v>134.6</v>
          </cell>
        </row>
        <row r="77">
          <cell r="B77" t="str">
            <v>Sandhya</v>
          </cell>
          <cell r="C77" t="str">
            <v>Bifenthrin 10% EC</v>
          </cell>
          <cell r="D77" t="str">
            <v>San Bif 10</v>
          </cell>
          <cell r="E77" t="str">
            <v>100 ML</v>
          </cell>
          <cell r="F77">
            <v>47.765000000000001</v>
          </cell>
          <cell r="G77">
            <v>18</v>
          </cell>
          <cell r="H77">
            <v>10.484999999999999</v>
          </cell>
          <cell r="I77">
            <v>58.25</v>
          </cell>
        </row>
        <row r="78">
          <cell r="B78" t="str">
            <v>Sandhya</v>
          </cell>
          <cell r="C78" t="str">
            <v>Cartap Hydrochloride 50% SP</v>
          </cell>
          <cell r="D78" t="str">
            <v>San Cart Plus</v>
          </cell>
          <cell r="E78" t="str">
            <v>1000 GMS</v>
          </cell>
          <cell r="F78">
            <v>854.87459999999999</v>
          </cell>
          <cell r="G78">
            <v>18</v>
          </cell>
          <cell r="H78">
            <v>187.65539999999999</v>
          </cell>
          <cell r="I78">
            <v>1042.53</v>
          </cell>
        </row>
        <row r="79">
          <cell r="B79" t="str">
            <v>Sandhya</v>
          </cell>
          <cell r="C79" t="str">
            <v>Cartap Hydrochloride 50% SP</v>
          </cell>
          <cell r="D79" t="str">
            <v>San Cart Plus</v>
          </cell>
          <cell r="E79" t="str">
            <v>500 GMS</v>
          </cell>
          <cell r="F79">
            <v>436.43680000000001</v>
          </cell>
          <cell r="G79">
            <v>18</v>
          </cell>
          <cell r="H79">
            <v>95.803200000000004</v>
          </cell>
          <cell r="I79">
            <v>532.24</v>
          </cell>
        </row>
        <row r="80">
          <cell r="B80" t="str">
            <v>Sandhya</v>
          </cell>
          <cell r="C80" t="str">
            <v>Cartap Hydrochloride 50% SP</v>
          </cell>
          <cell r="D80" t="str">
            <v>San Cart Plus</v>
          </cell>
          <cell r="E80" t="str">
            <v>250 GMS</v>
          </cell>
          <cell r="F80">
            <v>222.72020000000001</v>
          </cell>
          <cell r="G80">
            <v>18</v>
          </cell>
          <cell r="H80">
            <v>48.889800000000001</v>
          </cell>
          <cell r="I80">
            <v>271.61</v>
          </cell>
        </row>
        <row r="81">
          <cell r="B81" t="str">
            <v>Sandhya</v>
          </cell>
          <cell r="C81" t="str">
            <v>Cartap Hydrochloride 50% SP</v>
          </cell>
          <cell r="D81" t="str">
            <v>San Cart Plus</v>
          </cell>
          <cell r="E81" t="str">
            <v>100 GMS</v>
          </cell>
          <cell r="F81">
            <v>93.586600000000004</v>
          </cell>
          <cell r="G81">
            <v>18</v>
          </cell>
          <cell r="H81">
            <v>20.543399999999998</v>
          </cell>
          <cell r="I81">
            <v>114.13</v>
          </cell>
        </row>
        <row r="82">
          <cell r="B82" t="str">
            <v>Sandhya</v>
          </cell>
          <cell r="C82" t="str">
            <v>Cartap Hydrochloride 4% GR</v>
          </cell>
          <cell r="D82" t="str">
            <v>San Cart- 4 Gr</v>
          </cell>
          <cell r="E82" t="str">
            <v>5000 GMS</v>
          </cell>
          <cell r="F82">
            <v>427.44139999999999</v>
          </cell>
          <cell r="G82">
            <v>18</v>
          </cell>
          <cell r="H82">
            <v>93.828599999999994</v>
          </cell>
          <cell r="I82">
            <v>521.27</v>
          </cell>
        </row>
        <row r="83">
          <cell r="B83" t="str">
            <v>Sandhya</v>
          </cell>
          <cell r="C83" t="str">
            <v>Cartap Hydrochloride 4% GR</v>
          </cell>
          <cell r="D83" t="str">
            <v>San Cart- 4 Gr</v>
          </cell>
          <cell r="E83" t="str">
            <v>1000 GMS</v>
          </cell>
          <cell r="F83">
            <v>88.191000000000003</v>
          </cell>
          <cell r="G83">
            <v>18</v>
          </cell>
          <cell r="H83">
            <v>19.358999999999998</v>
          </cell>
          <cell r="I83">
            <v>107.55</v>
          </cell>
        </row>
        <row r="84">
          <cell r="B84" t="str">
            <v>Sandhya</v>
          </cell>
          <cell r="C84" t="str">
            <v>Imidacloprid 17.8% SL</v>
          </cell>
          <cell r="D84" t="str">
            <v>San Mida Plus</v>
          </cell>
          <cell r="E84" t="str">
            <v>1000 ML</v>
          </cell>
          <cell r="F84">
            <v>560.92099999999994</v>
          </cell>
          <cell r="G84">
            <v>18</v>
          </cell>
          <cell r="H84">
            <v>123.12899999999999</v>
          </cell>
          <cell r="I84">
            <v>684.05</v>
          </cell>
        </row>
        <row r="85">
          <cell r="B85" t="str">
            <v>Sandhya</v>
          </cell>
          <cell r="C85" t="str">
            <v>Imidacloprid 17.8% SL</v>
          </cell>
          <cell r="D85" t="str">
            <v>San Mida Plus</v>
          </cell>
          <cell r="E85" t="str">
            <v>500 ML</v>
          </cell>
          <cell r="F85">
            <v>288.59899999999999</v>
          </cell>
          <cell r="G85">
            <v>18</v>
          </cell>
          <cell r="H85">
            <v>63.350999999999999</v>
          </cell>
          <cell r="I85">
            <v>351.95</v>
          </cell>
        </row>
        <row r="86">
          <cell r="B86" t="str">
            <v>Sandhya</v>
          </cell>
          <cell r="C86" t="str">
            <v>Imidacloprid 17.8% SL</v>
          </cell>
          <cell r="D86" t="str">
            <v>San Mida Plus</v>
          </cell>
          <cell r="E86" t="str">
            <v>250 ML</v>
          </cell>
          <cell r="F86">
            <v>148.8218</v>
          </cell>
          <cell r="G86">
            <v>18</v>
          </cell>
          <cell r="H86">
            <v>32.668199999999999</v>
          </cell>
          <cell r="I86">
            <v>181.49</v>
          </cell>
        </row>
        <row r="87">
          <cell r="B87" t="str">
            <v>Sandhya</v>
          </cell>
          <cell r="C87" t="str">
            <v>Imidacloprid 17.8% SL</v>
          </cell>
          <cell r="D87" t="str">
            <v>San Mida Plus</v>
          </cell>
          <cell r="E87" t="str">
            <v>100 ML</v>
          </cell>
          <cell r="F87">
            <v>62.246200000000002</v>
          </cell>
          <cell r="G87">
            <v>18</v>
          </cell>
          <cell r="H87">
            <v>13.663799999999998</v>
          </cell>
          <cell r="I87">
            <v>75.91</v>
          </cell>
        </row>
        <row r="88">
          <cell r="B88" t="str">
            <v>Sandhya</v>
          </cell>
          <cell r="C88" t="str">
            <v xml:space="preserve">Imidacloprid 30.5% SC </v>
          </cell>
          <cell r="D88" t="str">
            <v>San Mida Super</v>
          </cell>
          <cell r="E88" t="str">
            <v>1000 ML</v>
          </cell>
          <cell r="F88">
            <v>710.899</v>
          </cell>
          <cell r="G88">
            <v>18</v>
          </cell>
          <cell r="H88">
            <v>156.05100000000002</v>
          </cell>
          <cell r="I88">
            <v>866.95</v>
          </cell>
        </row>
        <row r="89">
          <cell r="B89" t="str">
            <v>Sandhya</v>
          </cell>
          <cell r="C89" t="str">
            <v xml:space="preserve">Imidacloprid 30.5% SC </v>
          </cell>
          <cell r="D89" t="str">
            <v>San Mida Super</v>
          </cell>
          <cell r="E89" t="str">
            <v>500 ML</v>
          </cell>
          <cell r="F89">
            <v>363.54700000000003</v>
          </cell>
          <cell r="G89">
            <v>18</v>
          </cell>
          <cell r="H89">
            <v>79.802999999999997</v>
          </cell>
          <cell r="I89">
            <v>443.35</v>
          </cell>
        </row>
        <row r="90">
          <cell r="B90" t="str">
            <v>Sandhya</v>
          </cell>
          <cell r="C90" t="str">
            <v xml:space="preserve">Imidacloprid 30.5% SC </v>
          </cell>
          <cell r="D90" t="str">
            <v>San Mida Super</v>
          </cell>
          <cell r="E90" t="str">
            <v>250 ML</v>
          </cell>
          <cell r="F90">
            <v>186.27119999999999</v>
          </cell>
          <cell r="G90">
            <v>18</v>
          </cell>
          <cell r="H90">
            <v>40.888799999999996</v>
          </cell>
          <cell r="I90">
            <v>227.16</v>
          </cell>
        </row>
        <row r="91">
          <cell r="B91" t="str">
            <v>Sandhya</v>
          </cell>
          <cell r="C91" t="str">
            <v xml:space="preserve">Imidacloprid 30.5% SC </v>
          </cell>
          <cell r="D91" t="str">
            <v>San Mida Super</v>
          </cell>
          <cell r="E91" t="str">
            <v>100 ML</v>
          </cell>
          <cell r="F91">
            <v>78.105000000000004</v>
          </cell>
          <cell r="G91">
            <v>18</v>
          </cell>
          <cell r="H91">
            <v>17.145</v>
          </cell>
          <cell r="I91">
            <v>95.25</v>
          </cell>
        </row>
        <row r="92">
          <cell r="B92" t="str">
            <v>Sandhya</v>
          </cell>
          <cell r="C92" t="str">
            <v>Thiamethoxam 12.6% + Lambda Cyhalothrin 9.5% ZC</v>
          </cell>
          <cell r="D92" t="str">
            <v>Santhila</v>
          </cell>
          <cell r="E92" t="str">
            <v>1000 ML</v>
          </cell>
          <cell r="F92">
            <v>795.48199999999997</v>
          </cell>
          <cell r="G92">
            <v>18</v>
          </cell>
          <cell r="H92">
            <v>174.61799999999999</v>
          </cell>
          <cell r="I92">
            <v>970.1</v>
          </cell>
        </row>
        <row r="93">
          <cell r="B93" t="str">
            <v>Sandhya</v>
          </cell>
          <cell r="C93" t="str">
            <v>Thiamethoxam 12.6% + Lambda Cyhalothrin 9.5% ZC</v>
          </cell>
          <cell r="D93" t="str">
            <v>Santhila</v>
          </cell>
          <cell r="E93" t="str">
            <v>500 ML</v>
          </cell>
          <cell r="F93">
            <v>406.7364</v>
          </cell>
          <cell r="G93">
            <v>18</v>
          </cell>
          <cell r="H93">
            <v>89.283599999999993</v>
          </cell>
          <cell r="I93">
            <v>496.02</v>
          </cell>
        </row>
        <row r="94">
          <cell r="B94" t="str">
            <v>Sandhya</v>
          </cell>
          <cell r="C94" t="str">
            <v>Thiamethoxam 12.6% + Lambda Cyhalothrin 9.5% ZC</v>
          </cell>
          <cell r="D94" t="str">
            <v>Santhila</v>
          </cell>
          <cell r="E94" t="str">
            <v>200 ML</v>
          </cell>
          <cell r="F94">
            <v>166.29600000000002</v>
          </cell>
          <cell r="G94">
            <v>18</v>
          </cell>
          <cell r="H94">
            <v>36.503999999999998</v>
          </cell>
          <cell r="I94">
            <v>202.8</v>
          </cell>
        </row>
        <row r="95">
          <cell r="B95" t="str">
            <v>Sandhya</v>
          </cell>
          <cell r="C95" t="str">
            <v>Thiamethoxam 12.6% + Lambda Cyhalothrin 9.5% ZC</v>
          </cell>
          <cell r="D95" t="str">
            <v>Santhila</v>
          </cell>
          <cell r="E95" t="str">
            <v>80 ML</v>
          </cell>
          <cell r="F95">
            <v>68.674999999999997</v>
          </cell>
          <cell r="G95">
            <v>18</v>
          </cell>
          <cell r="H95">
            <v>15.074999999999999</v>
          </cell>
          <cell r="I95">
            <v>83.75</v>
          </cell>
        </row>
        <row r="96">
          <cell r="B96" t="str">
            <v>Sandhya</v>
          </cell>
          <cell r="C96" t="str">
            <v>Thiamethoxam 12.6% + Lambda Cyhalothrin 9.5% ZC</v>
          </cell>
          <cell r="D96" t="str">
            <v>Santhila</v>
          </cell>
          <cell r="E96" t="str">
            <v>40 ML</v>
          </cell>
          <cell r="F96">
            <v>35.415799999999997</v>
          </cell>
          <cell r="G96">
            <v>18</v>
          </cell>
          <cell r="H96">
            <v>7.7741999999999996</v>
          </cell>
          <cell r="I96">
            <v>43.19</v>
          </cell>
        </row>
        <row r="97">
          <cell r="B97" t="str">
            <v>Sandhya</v>
          </cell>
          <cell r="C97" t="str">
            <v>Lambda Cyhalothrin 5% EC</v>
          </cell>
          <cell r="D97" t="str">
            <v>San Lam Plus</v>
          </cell>
          <cell r="E97" t="str">
            <v>5000 ML</v>
          </cell>
          <cell r="F97">
            <v>1390.2936</v>
          </cell>
          <cell r="G97">
            <v>18</v>
          </cell>
          <cell r="H97">
            <v>305.18639999999999</v>
          </cell>
          <cell r="I97">
            <v>1695.48</v>
          </cell>
        </row>
        <row r="98">
          <cell r="B98" t="str">
            <v>Sandhya</v>
          </cell>
          <cell r="C98" t="str">
            <v>Lambda Cyhalothrin 5% EC</v>
          </cell>
          <cell r="D98" t="str">
            <v>San Lam Plus</v>
          </cell>
          <cell r="E98" t="str">
            <v>1000 ML</v>
          </cell>
          <cell r="F98">
            <v>285.26159999999999</v>
          </cell>
          <cell r="G98">
            <v>18</v>
          </cell>
          <cell r="H98">
            <v>62.618399999999994</v>
          </cell>
          <cell r="I98">
            <v>347.88</v>
          </cell>
        </row>
        <row r="99">
          <cell r="B99" t="str">
            <v>Sandhya</v>
          </cell>
          <cell r="C99" t="str">
            <v>Lambda Cyhalothrin 5% EC</v>
          </cell>
          <cell r="D99" t="str">
            <v>San Lam Plus</v>
          </cell>
          <cell r="E99" t="str">
            <v>500 ML</v>
          </cell>
          <cell r="F99">
            <v>150.28140000000002</v>
          </cell>
          <cell r="G99">
            <v>18</v>
          </cell>
          <cell r="H99">
            <v>32.988599999999998</v>
          </cell>
          <cell r="I99">
            <v>183.27</v>
          </cell>
        </row>
        <row r="100">
          <cell r="B100" t="str">
            <v>Sandhya</v>
          </cell>
          <cell r="C100" t="str">
            <v>Lambda Cyhalothrin 5% EC</v>
          </cell>
          <cell r="D100" t="str">
            <v>San Lam Plus</v>
          </cell>
          <cell r="E100" t="str">
            <v>250 ML</v>
          </cell>
          <cell r="F100">
            <v>79.638400000000004</v>
          </cell>
          <cell r="G100">
            <v>18</v>
          </cell>
          <cell r="H100">
            <v>17.4816</v>
          </cell>
          <cell r="I100">
            <v>97.12</v>
          </cell>
        </row>
        <row r="101">
          <cell r="B101" t="str">
            <v>Sandhya</v>
          </cell>
          <cell r="C101" t="str">
            <v>Lambda Cyhalothrin 5% EC</v>
          </cell>
          <cell r="D101" t="str">
            <v>San Lam Plus</v>
          </cell>
          <cell r="E101" t="str">
            <v>100 ML</v>
          </cell>
          <cell r="F101">
            <v>35.456800000000001</v>
          </cell>
          <cell r="G101">
            <v>18</v>
          </cell>
          <cell r="H101">
            <v>7.7831999999999999</v>
          </cell>
          <cell r="I101">
            <v>43.24</v>
          </cell>
        </row>
        <row r="102">
          <cell r="B102" t="str">
            <v>Sandhya</v>
          </cell>
          <cell r="C102" t="str">
            <v>Lambda Cyhalothrin 4.9% CS</v>
          </cell>
          <cell r="D102" t="str">
            <v>San Lam + Cs</v>
          </cell>
          <cell r="E102" t="str">
            <v>1000 ML</v>
          </cell>
          <cell r="F102">
            <v>276.24979999999999</v>
          </cell>
          <cell r="G102">
            <v>18</v>
          </cell>
          <cell r="H102">
            <v>60.640199999999993</v>
          </cell>
          <cell r="I102">
            <v>336.89</v>
          </cell>
        </row>
        <row r="103">
          <cell r="B103" t="str">
            <v>Sandhya</v>
          </cell>
          <cell r="C103" t="str">
            <v>Lambda Cyhalothrin 4.9% CS</v>
          </cell>
          <cell r="D103" t="str">
            <v>San Lam + Cs</v>
          </cell>
          <cell r="E103" t="str">
            <v>500 ML</v>
          </cell>
          <cell r="F103">
            <v>146.24700000000001</v>
          </cell>
          <cell r="G103">
            <v>18</v>
          </cell>
          <cell r="H103">
            <v>32.102999999999994</v>
          </cell>
          <cell r="I103">
            <v>178.35</v>
          </cell>
        </row>
        <row r="104">
          <cell r="B104" t="str">
            <v>Sandhya</v>
          </cell>
          <cell r="C104" t="str">
            <v>Lambda Cyhalothrin 4.9% CS</v>
          </cell>
          <cell r="D104" t="str">
            <v>San Lam + Cs</v>
          </cell>
          <cell r="E104" t="str">
            <v>250 ML</v>
          </cell>
          <cell r="F104">
            <v>77.637600000000006</v>
          </cell>
          <cell r="G104">
            <v>18</v>
          </cell>
          <cell r="H104">
            <v>17.042400000000001</v>
          </cell>
          <cell r="I104">
            <v>94.68</v>
          </cell>
        </row>
        <row r="105">
          <cell r="B105" t="str">
            <v>Sandhya</v>
          </cell>
          <cell r="C105" t="str">
            <v>Lambda Cyhalothrin 4.9% CS</v>
          </cell>
          <cell r="D105" t="str">
            <v>San Lam + Cs</v>
          </cell>
          <cell r="E105" t="str">
            <v>100 ML</v>
          </cell>
          <cell r="F105">
            <v>34.669600000000003</v>
          </cell>
          <cell r="G105">
            <v>18</v>
          </cell>
          <cell r="H105">
            <v>7.6104000000000003</v>
          </cell>
          <cell r="I105">
            <v>42.28</v>
          </cell>
        </row>
        <row r="106">
          <cell r="B106" t="str">
            <v>Sandhya</v>
          </cell>
          <cell r="C106" t="str">
            <v>Lambda Cyhalothrin 2.5% EC</v>
          </cell>
          <cell r="D106" t="str">
            <v>San Lam</v>
          </cell>
          <cell r="E106" t="str">
            <v>5000 ML</v>
          </cell>
          <cell r="F106">
            <v>1074.1836000000001</v>
          </cell>
          <cell r="G106">
            <v>18</v>
          </cell>
          <cell r="H106">
            <v>235.79640000000001</v>
          </cell>
          <cell r="I106">
            <v>1309.98</v>
          </cell>
        </row>
        <row r="107">
          <cell r="B107" t="str">
            <v>Sandhya</v>
          </cell>
          <cell r="C107" t="str">
            <v>Lambda Cyhalothrin 2.5% EC</v>
          </cell>
          <cell r="D107" t="str">
            <v>San Lam</v>
          </cell>
          <cell r="E107" t="str">
            <v>1000 ML</v>
          </cell>
          <cell r="F107">
            <v>222.03139999999999</v>
          </cell>
          <cell r="G107">
            <v>18</v>
          </cell>
          <cell r="H107">
            <v>48.738599999999998</v>
          </cell>
          <cell r="I107">
            <v>270.77</v>
          </cell>
        </row>
        <row r="108">
          <cell r="B108" t="str">
            <v>Sandhya</v>
          </cell>
          <cell r="C108" t="str">
            <v>Lambda Cyhalothrin 2.5% EC</v>
          </cell>
          <cell r="D108" t="str">
            <v>San Lam</v>
          </cell>
          <cell r="E108" t="str">
            <v>500 ML</v>
          </cell>
          <cell r="F108">
            <v>119.105</v>
          </cell>
          <cell r="G108">
            <v>18</v>
          </cell>
          <cell r="H108">
            <v>26.145</v>
          </cell>
          <cell r="I108">
            <v>145.25</v>
          </cell>
        </row>
        <row r="109">
          <cell r="B109" t="str">
            <v>Sandhya</v>
          </cell>
          <cell r="C109" t="str">
            <v>Lambda Cyhalothrin 2.5% EC</v>
          </cell>
          <cell r="D109" t="str">
            <v>San Lam</v>
          </cell>
          <cell r="E109" t="str">
            <v>250 ML</v>
          </cell>
          <cell r="F109">
            <v>64.050200000000004</v>
          </cell>
          <cell r="G109">
            <v>18</v>
          </cell>
          <cell r="H109">
            <v>14.059799999999999</v>
          </cell>
          <cell r="I109">
            <v>78.11</v>
          </cell>
        </row>
        <row r="110">
          <cell r="B110" t="str">
            <v>Sandhya</v>
          </cell>
          <cell r="C110" t="str">
            <v>Lambda Cyhalothrin 2.5% EC</v>
          </cell>
          <cell r="D110" t="str">
            <v>San Lam</v>
          </cell>
          <cell r="E110" t="str">
            <v>100 ML</v>
          </cell>
          <cell r="F110">
            <v>29.216600000000003</v>
          </cell>
          <cell r="G110">
            <v>18</v>
          </cell>
          <cell r="H110">
            <v>6.4134000000000002</v>
          </cell>
          <cell r="I110">
            <v>35.630000000000003</v>
          </cell>
        </row>
        <row r="111">
          <cell r="B111" t="str">
            <v>Sandhya</v>
          </cell>
          <cell r="C111" t="str">
            <v>Permethrin 25% EC</v>
          </cell>
          <cell r="D111" t="str">
            <v>San Per Super</v>
          </cell>
          <cell r="E111" t="str">
            <v>1000 ML</v>
          </cell>
          <cell r="F111">
            <v>423.84159999999997</v>
          </cell>
          <cell r="G111">
            <v>18</v>
          </cell>
          <cell r="H111">
            <v>93.038399999999996</v>
          </cell>
          <cell r="I111">
            <v>516.88</v>
          </cell>
        </row>
        <row r="112">
          <cell r="B112" t="str">
            <v>Sandhya</v>
          </cell>
          <cell r="C112" t="str">
            <v>Permethrin 25% EC</v>
          </cell>
          <cell r="D112" t="str">
            <v>San Per Super</v>
          </cell>
          <cell r="E112" t="str">
            <v>500 ML</v>
          </cell>
          <cell r="F112">
            <v>220.01420000000002</v>
          </cell>
          <cell r="G112">
            <v>18</v>
          </cell>
          <cell r="H112">
            <v>48.2958</v>
          </cell>
          <cell r="I112">
            <v>268.31</v>
          </cell>
        </row>
        <row r="113">
          <cell r="B113" t="str">
            <v>Sandhya</v>
          </cell>
          <cell r="C113" t="str">
            <v>Permethrin 25% EC</v>
          </cell>
          <cell r="D113" t="str">
            <v>San Per Super</v>
          </cell>
          <cell r="E113" t="str">
            <v>250 ML</v>
          </cell>
          <cell r="F113">
            <v>114.062</v>
          </cell>
          <cell r="G113">
            <v>18</v>
          </cell>
          <cell r="H113">
            <v>25.037999999999997</v>
          </cell>
          <cell r="I113">
            <v>139.1</v>
          </cell>
        </row>
        <row r="114">
          <cell r="B114" t="str">
            <v>Sandhya</v>
          </cell>
          <cell r="C114" t="str">
            <v>Permethrin 25% EC</v>
          </cell>
          <cell r="D114" t="str">
            <v>San Per Super</v>
          </cell>
          <cell r="E114" t="str">
            <v>100 ML</v>
          </cell>
          <cell r="F114">
            <v>49.224600000000002</v>
          </cell>
          <cell r="G114">
            <v>18</v>
          </cell>
          <cell r="H114">
            <v>10.805400000000001</v>
          </cell>
          <cell r="I114">
            <v>60.03</v>
          </cell>
        </row>
        <row r="115">
          <cell r="B115" t="str">
            <v>Sandhya</v>
          </cell>
          <cell r="C115" t="str">
            <v>Difenthiuron 50% WP</v>
          </cell>
          <cell r="D115" t="str">
            <v>San Difenthiuron</v>
          </cell>
          <cell r="E115" t="str">
            <v>1000 GMS</v>
          </cell>
          <cell r="F115">
            <v>858.4498000000001</v>
          </cell>
          <cell r="G115">
            <v>18</v>
          </cell>
          <cell r="H115">
            <v>188.4402</v>
          </cell>
          <cell r="I115">
            <v>1046.8900000000001</v>
          </cell>
        </row>
        <row r="116">
          <cell r="B116" t="str">
            <v>Sandhya</v>
          </cell>
          <cell r="C116" t="str">
            <v>Difenthiuron 50% WP</v>
          </cell>
          <cell r="D116" t="str">
            <v>San Difenthiuron</v>
          </cell>
          <cell r="E116" t="str">
            <v>500 GMS</v>
          </cell>
          <cell r="F116">
            <v>439.56099999999998</v>
          </cell>
          <cell r="G116">
            <v>18</v>
          </cell>
          <cell r="H116">
            <v>96.48899999999999</v>
          </cell>
          <cell r="I116">
            <v>536.04999999999995</v>
          </cell>
        </row>
        <row r="117">
          <cell r="B117" t="str">
            <v>Sandhya</v>
          </cell>
          <cell r="C117" t="str">
            <v>Difenthiuron 50% WP</v>
          </cell>
          <cell r="D117" t="str">
            <v>San Difenthiuron</v>
          </cell>
          <cell r="E117" t="str">
            <v>250 GMS</v>
          </cell>
          <cell r="F117">
            <v>224.2782</v>
          </cell>
          <cell r="G117">
            <v>18</v>
          </cell>
          <cell r="H117">
            <v>49.2318</v>
          </cell>
          <cell r="I117">
            <v>273.51</v>
          </cell>
        </row>
        <row r="118">
          <cell r="B118" t="str">
            <v>Sandhya</v>
          </cell>
          <cell r="C118" t="str">
            <v>Difenthiuron 50% WP</v>
          </cell>
          <cell r="D118" t="str">
            <v>San Difenthiuron</v>
          </cell>
          <cell r="E118" t="str">
            <v>100 GMS</v>
          </cell>
          <cell r="F118">
            <v>92.405799999999999</v>
          </cell>
          <cell r="G118">
            <v>18</v>
          </cell>
          <cell r="H118">
            <v>20.284199999999998</v>
          </cell>
          <cell r="I118">
            <v>112.69</v>
          </cell>
        </row>
        <row r="119">
          <cell r="B119" t="str">
            <v>Sandhya</v>
          </cell>
          <cell r="C119" t="str">
            <v>Novaluron 10% EC</v>
          </cell>
          <cell r="D119" t="str">
            <v>Nuron 10</v>
          </cell>
          <cell r="E119" t="str">
            <v>1000 ML</v>
          </cell>
          <cell r="F119">
            <v>1761.1303999999998</v>
          </cell>
          <cell r="G119">
            <v>18</v>
          </cell>
          <cell r="H119">
            <v>386.58959999999996</v>
          </cell>
          <cell r="I119">
            <v>2147.7199999999998</v>
          </cell>
        </row>
        <row r="120">
          <cell r="B120" t="str">
            <v>Sandhya</v>
          </cell>
          <cell r="C120" t="str">
            <v>Novaluron 10% EC</v>
          </cell>
          <cell r="D120" t="str">
            <v>Nuron 10</v>
          </cell>
          <cell r="E120" t="str">
            <v>500 ML</v>
          </cell>
          <cell r="F120">
            <v>888.67499999999995</v>
          </cell>
          <cell r="G120">
            <v>18</v>
          </cell>
          <cell r="H120">
            <v>195.07499999999999</v>
          </cell>
          <cell r="I120">
            <v>1083.75</v>
          </cell>
        </row>
        <row r="121">
          <cell r="B121" t="str">
            <v>Sandhya</v>
          </cell>
          <cell r="C121" t="str">
            <v>Novaluron 10% EC</v>
          </cell>
          <cell r="D121" t="str">
            <v>Nuron 10</v>
          </cell>
          <cell r="E121" t="str">
            <v>250 ML</v>
          </cell>
          <cell r="F121">
            <v>448.84339999999997</v>
          </cell>
          <cell r="G121">
            <v>18</v>
          </cell>
          <cell r="H121">
            <v>98.526600000000002</v>
          </cell>
          <cell r="I121">
            <v>547.37</v>
          </cell>
        </row>
        <row r="122">
          <cell r="B122" t="str">
            <v>Sandhya</v>
          </cell>
          <cell r="C122" t="str">
            <v>Novaluron 10% EC</v>
          </cell>
          <cell r="D122" t="str">
            <v>Nuron 10</v>
          </cell>
          <cell r="E122" t="str">
            <v>100 ML</v>
          </cell>
          <cell r="F122">
            <v>183.1388</v>
          </cell>
          <cell r="G122">
            <v>18</v>
          </cell>
          <cell r="H122">
            <v>40.2012</v>
          </cell>
          <cell r="I122">
            <v>223.34</v>
          </cell>
        </row>
        <row r="123">
          <cell r="B123" t="str">
            <v>Sandhya</v>
          </cell>
          <cell r="C123" t="str">
            <v>Ethion 50% EC</v>
          </cell>
          <cell r="D123" t="str">
            <v>Saneton</v>
          </cell>
          <cell r="E123" t="str">
            <v>1000 ML</v>
          </cell>
          <cell r="F123">
            <v>503.02900000000005</v>
          </cell>
          <cell r="G123">
            <v>18</v>
          </cell>
          <cell r="H123">
            <v>110.42100000000001</v>
          </cell>
          <cell r="I123">
            <v>613.45000000000005</v>
          </cell>
        </row>
        <row r="124">
          <cell r="B124" t="str">
            <v>Sandhya</v>
          </cell>
          <cell r="C124" t="str">
            <v>Ethion 50% EC</v>
          </cell>
          <cell r="D124" t="str">
            <v>Saneton</v>
          </cell>
          <cell r="E124" t="str">
            <v>500 ML</v>
          </cell>
          <cell r="F124">
            <v>259.61200000000002</v>
          </cell>
          <cell r="G124">
            <v>18</v>
          </cell>
          <cell r="H124">
            <v>56.988</v>
          </cell>
          <cell r="I124">
            <v>316.60000000000002</v>
          </cell>
        </row>
        <row r="125">
          <cell r="B125" t="str">
            <v>Sandhya</v>
          </cell>
          <cell r="C125" t="str">
            <v>Ethion 50% EC</v>
          </cell>
          <cell r="D125" t="str">
            <v>Saneton</v>
          </cell>
          <cell r="E125" t="str">
            <v>250 ML</v>
          </cell>
          <cell r="F125">
            <v>134.30779999999999</v>
          </cell>
          <cell r="G125">
            <v>18</v>
          </cell>
          <cell r="H125">
            <v>29.482199999999999</v>
          </cell>
          <cell r="I125">
            <v>163.79</v>
          </cell>
        </row>
        <row r="126">
          <cell r="B126" t="str">
            <v>Sandhya</v>
          </cell>
          <cell r="C126" t="str">
            <v>Ethion 50% EC</v>
          </cell>
          <cell r="D126" t="str">
            <v>Saneton</v>
          </cell>
          <cell r="E126" t="str">
            <v>100 ML</v>
          </cell>
          <cell r="F126">
            <v>57.318000000000005</v>
          </cell>
          <cell r="G126">
            <v>18</v>
          </cell>
          <cell r="H126">
            <v>12.582000000000001</v>
          </cell>
          <cell r="I126">
            <v>69.900000000000006</v>
          </cell>
        </row>
        <row r="127">
          <cell r="B127" t="str">
            <v>Sandhya</v>
          </cell>
          <cell r="C127" t="str">
            <v>Ethion 40% + Cypermethrin 5% EC</v>
          </cell>
          <cell r="D127" t="str">
            <v>San Ec Mix</v>
          </cell>
          <cell r="E127" t="str">
            <v>1000 ML</v>
          </cell>
          <cell r="F127">
            <v>474.49299999999999</v>
          </cell>
          <cell r="G127">
            <v>18</v>
          </cell>
          <cell r="H127">
            <v>104.157</v>
          </cell>
          <cell r="I127">
            <v>578.65</v>
          </cell>
        </row>
        <row r="128">
          <cell r="B128" t="str">
            <v>Sandhya</v>
          </cell>
          <cell r="C128" t="str">
            <v>Ethion 40% + Cypermethrin 5% EC</v>
          </cell>
          <cell r="D128" t="str">
            <v>San Ec Mix</v>
          </cell>
          <cell r="E128" t="str">
            <v>500 ML</v>
          </cell>
          <cell r="F128">
            <v>245.31940000000003</v>
          </cell>
          <cell r="G128">
            <v>18</v>
          </cell>
          <cell r="H128">
            <v>53.8506</v>
          </cell>
          <cell r="I128">
            <v>299.17</v>
          </cell>
        </row>
        <row r="129">
          <cell r="B129" t="str">
            <v>Sandhya</v>
          </cell>
          <cell r="C129" t="str">
            <v>Ethion 40% + Cypermethrin 5% EC</v>
          </cell>
          <cell r="D129" t="str">
            <v>San Ec Mix</v>
          </cell>
          <cell r="E129" t="str">
            <v>250 ML</v>
          </cell>
          <cell r="F129">
            <v>127.14100000000001</v>
          </cell>
          <cell r="G129">
            <v>18</v>
          </cell>
          <cell r="H129">
            <v>27.909000000000002</v>
          </cell>
          <cell r="I129">
            <v>155.05000000000001</v>
          </cell>
        </row>
        <row r="130">
          <cell r="B130" t="str">
            <v>Sandhya</v>
          </cell>
          <cell r="C130" t="str">
            <v>Ethion 40% + Cypermethrin 5% EC</v>
          </cell>
          <cell r="D130" t="str">
            <v>San Ec Mix</v>
          </cell>
          <cell r="E130" t="str">
            <v>100 ML</v>
          </cell>
          <cell r="F130">
            <v>54.448000000000008</v>
          </cell>
          <cell r="G130">
            <v>18</v>
          </cell>
          <cell r="H130">
            <v>11.952</v>
          </cell>
          <cell r="I130">
            <v>66.400000000000006</v>
          </cell>
        </row>
        <row r="131">
          <cell r="B131" t="str">
            <v>Sandhya</v>
          </cell>
          <cell r="C131" t="str">
            <v>Cypermethrin 10% EC</v>
          </cell>
          <cell r="D131" t="str">
            <v>San Cyp Plus</v>
          </cell>
          <cell r="E131" t="str">
            <v>5000 ML</v>
          </cell>
          <cell r="F131">
            <v>1113.7240000000002</v>
          </cell>
          <cell r="G131">
            <v>18</v>
          </cell>
          <cell r="H131">
            <v>244.476</v>
          </cell>
          <cell r="I131">
            <v>1358.2</v>
          </cell>
        </row>
        <row r="132">
          <cell r="B132" t="str">
            <v>Sandhya</v>
          </cell>
          <cell r="C132" t="str">
            <v>Cypermethrin 10% EC</v>
          </cell>
          <cell r="D132" t="str">
            <v>San Cyp Plus</v>
          </cell>
          <cell r="E132" t="str">
            <v>1000 ML</v>
          </cell>
          <cell r="F132">
            <v>229.96080000000001</v>
          </cell>
          <cell r="G132">
            <v>18</v>
          </cell>
          <cell r="H132">
            <v>50.479199999999999</v>
          </cell>
          <cell r="I132">
            <v>280.44</v>
          </cell>
        </row>
        <row r="133">
          <cell r="B133" t="str">
            <v>Sandhya</v>
          </cell>
          <cell r="C133" t="str">
            <v>Cypermethrin 10% EC</v>
          </cell>
          <cell r="D133" t="str">
            <v>San Cyp Plus</v>
          </cell>
          <cell r="E133" t="str">
            <v>500 ML</v>
          </cell>
          <cell r="F133">
            <v>121.2944</v>
          </cell>
          <cell r="G133">
            <v>18</v>
          </cell>
          <cell r="H133">
            <v>26.625599999999995</v>
          </cell>
          <cell r="I133">
            <v>147.91999999999999</v>
          </cell>
        </row>
        <row r="134">
          <cell r="B134" t="str">
            <v>Sandhya</v>
          </cell>
          <cell r="C134" t="str">
            <v>Cypermethrin 10% EC</v>
          </cell>
          <cell r="D134" t="str">
            <v>San Cyp Plus</v>
          </cell>
          <cell r="E134" t="str">
            <v>250 ML</v>
          </cell>
          <cell r="F134">
            <v>65.157199999999989</v>
          </cell>
          <cell r="G134">
            <v>18</v>
          </cell>
          <cell r="H134">
            <v>14.302799999999998</v>
          </cell>
          <cell r="I134">
            <v>79.459999999999994</v>
          </cell>
        </row>
        <row r="135">
          <cell r="B135" t="str">
            <v>Sandhya</v>
          </cell>
          <cell r="C135" t="str">
            <v>Cypermethrin 10% EC</v>
          </cell>
          <cell r="D135" t="str">
            <v>San Cyp Plus</v>
          </cell>
          <cell r="E135" t="str">
            <v>100 ML</v>
          </cell>
          <cell r="F135">
            <v>29.6676</v>
          </cell>
          <cell r="G135">
            <v>18</v>
          </cell>
          <cell r="H135">
            <v>6.5123999999999995</v>
          </cell>
          <cell r="I135">
            <v>36.18</v>
          </cell>
        </row>
        <row r="136">
          <cell r="B136" t="str">
            <v>Sandhya</v>
          </cell>
          <cell r="C136" t="str">
            <v xml:space="preserve">Cypermethrin 25% EC </v>
          </cell>
          <cell r="D136" t="str">
            <v>San Cyp Super</v>
          </cell>
          <cell r="E136" t="str">
            <v>5000 ML</v>
          </cell>
          <cell r="F136">
            <v>1549.4392</v>
          </cell>
          <cell r="G136">
            <v>18</v>
          </cell>
          <cell r="H136">
            <v>340.12079999999997</v>
          </cell>
          <cell r="I136">
            <v>1889.56</v>
          </cell>
        </row>
        <row r="137">
          <cell r="B137" t="str">
            <v>Sandhya</v>
          </cell>
          <cell r="C137" t="str">
            <v xml:space="preserve">Cypermethrin 25% EC </v>
          </cell>
          <cell r="D137" t="str">
            <v>San Cyp Super</v>
          </cell>
          <cell r="E137" t="str">
            <v>1000 ML</v>
          </cell>
          <cell r="F137">
            <v>317.09399999999999</v>
          </cell>
          <cell r="G137">
            <v>18</v>
          </cell>
          <cell r="H137">
            <v>69.605999999999995</v>
          </cell>
          <cell r="I137">
            <v>386.7</v>
          </cell>
        </row>
        <row r="138">
          <cell r="B138" t="str">
            <v>Sandhya</v>
          </cell>
          <cell r="C138" t="str">
            <v xml:space="preserve">Cypermethrin 25% EC </v>
          </cell>
          <cell r="D138" t="str">
            <v>San Cyp Super</v>
          </cell>
          <cell r="E138" t="str">
            <v>500 ML</v>
          </cell>
          <cell r="F138">
            <v>166.20580000000001</v>
          </cell>
          <cell r="G138">
            <v>18</v>
          </cell>
          <cell r="H138">
            <v>36.484200000000001</v>
          </cell>
          <cell r="I138">
            <v>202.69</v>
          </cell>
        </row>
        <row r="139">
          <cell r="B139" t="str">
            <v>Sandhya</v>
          </cell>
          <cell r="C139" t="str">
            <v xml:space="preserve">Cypermethrin 25% EC </v>
          </cell>
          <cell r="D139" t="str">
            <v>San Cyp Super</v>
          </cell>
          <cell r="E139" t="str">
            <v>250 ML</v>
          </cell>
          <cell r="F139">
            <v>87.608800000000002</v>
          </cell>
          <cell r="G139">
            <v>18</v>
          </cell>
          <cell r="H139">
            <v>19.231200000000001</v>
          </cell>
          <cell r="I139">
            <v>106.84</v>
          </cell>
        </row>
        <row r="140">
          <cell r="B140" t="str">
            <v>Sandhya</v>
          </cell>
          <cell r="C140" t="str">
            <v xml:space="preserve">Cypermethrin 25% EC </v>
          </cell>
          <cell r="D140" t="str">
            <v>San Cyp Super</v>
          </cell>
          <cell r="E140" t="str">
            <v>100 ML</v>
          </cell>
          <cell r="F140">
            <v>38.646600000000007</v>
          </cell>
          <cell r="G140">
            <v>18</v>
          </cell>
          <cell r="H140">
            <v>8.4833999999999996</v>
          </cell>
          <cell r="I140">
            <v>47.13</v>
          </cell>
        </row>
        <row r="141">
          <cell r="B141" t="str">
            <v>Sandhya</v>
          </cell>
          <cell r="C141" t="str">
            <v>Fipronil 80% WG</v>
          </cell>
          <cell r="D141" t="str">
            <v>Zemp</v>
          </cell>
          <cell r="E141" t="str">
            <v>100 GMS</v>
          </cell>
          <cell r="F141">
            <v>665.18400000000008</v>
          </cell>
          <cell r="G141">
            <v>18</v>
          </cell>
          <cell r="H141">
            <v>146.01599999999999</v>
          </cell>
          <cell r="I141">
            <v>811.2</v>
          </cell>
        </row>
        <row r="142">
          <cell r="B142" t="str">
            <v>Sandhya</v>
          </cell>
          <cell r="C142" t="str">
            <v>Fipronil 80% WG</v>
          </cell>
          <cell r="D142" t="str">
            <v>Zemp</v>
          </cell>
          <cell r="E142" t="str">
            <v>40 GMS</v>
          </cell>
          <cell r="F142">
            <v>275.06900000000002</v>
          </cell>
          <cell r="G142">
            <v>18</v>
          </cell>
          <cell r="H142">
            <v>60.380999999999993</v>
          </cell>
          <cell r="I142">
            <v>335.45</v>
          </cell>
        </row>
        <row r="143">
          <cell r="B143" t="str">
            <v>Sandhya</v>
          </cell>
          <cell r="C143" t="str">
            <v>Fipronil 80% WG</v>
          </cell>
          <cell r="D143" t="str">
            <v>Zemp</v>
          </cell>
          <cell r="E143" t="str">
            <v xml:space="preserve">2 GMS </v>
          </cell>
          <cell r="F143">
            <v>14.2926</v>
          </cell>
          <cell r="G143">
            <v>18</v>
          </cell>
          <cell r="H143">
            <v>3.1374</v>
          </cell>
          <cell r="I143">
            <v>17.43</v>
          </cell>
        </row>
        <row r="144">
          <cell r="B144" t="str">
            <v>Sandhya</v>
          </cell>
          <cell r="C144" t="str">
            <v>Alpha Cypermethrin 10% EC</v>
          </cell>
          <cell r="D144" t="str">
            <v>San Alpha Plus</v>
          </cell>
          <cell r="E144" t="str">
            <v>1000 ML</v>
          </cell>
          <cell r="F144">
            <v>278.95580000000001</v>
          </cell>
          <cell r="G144">
            <v>18</v>
          </cell>
          <cell r="H144">
            <v>61.234199999999994</v>
          </cell>
          <cell r="I144">
            <v>340.19</v>
          </cell>
        </row>
        <row r="145">
          <cell r="B145" t="str">
            <v>Sandhya</v>
          </cell>
          <cell r="C145" t="str">
            <v>Alpha Cypermethrin 10% EC</v>
          </cell>
          <cell r="D145" t="str">
            <v>San Alpha Plus</v>
          </cell>
          <cell r="E145" t="str">
            <v>500 ML</v>
          </cell>
          <cell r="F145">
            <v>147.5754</v>
          </cell>
          <cell r="G145">
            <v>18</v>
          </cell>
          <cell r="H145">
            <v>32.394599999999997</v>
          </cell>
          <cell r="I145">
            <v>179.97</v>
          </cell>
        </row>
        <row r="146">
          <cell r="B146" t="str">
            <v>Sandhya</v>
          </cell>
          <cell r="C146" t="str">
            <v>Alpha Cypermethrin 10% EC</v>
          </cell>
          <cell r="D146" t="str">
            <v>San Alpha Plus</v>
          </cell>
          <cell r="E146" t="str">
            <v>250 ML</v>
          </cell>
          <cell r="F146">
            <v>78.285399999999996</v>
          </cell>
          <cell r="G146">
            <v>18</v>
          </cell>
          <cell r="H146">
            <v>17.1846</v>
          </cell>
          <cell r="I146">
            <v>95.47</v>
          </cell>
        </row>
        <row r="147">
          <cell r="B147" t="str">
            <v>Sandhya</v>
          </cell>
          <cell r="C147" t="str">
            <v>Alpha Cypermethrin 10% EC</v>
          </cell>
          <cell r="D147" t="str">
            <v>San Alpha Plus</v>
          </cell>
          <cell r="E147" t="str">
            <v>100 ML</v>
          </cell>
          <cell r="F147">
            <v>34.915599999999998</v>
          </cell>
          <cell r="G147">
            <v>18</v>
          </cell>
          <cell r="H147">
            <v>7.6643999999999997</v>
          </cell>
          <cell r="I147">
            <v>42.58</v>
          </cell>
        </row>
        <row r="148">
          <cell r="B148" t="str">
            <v>Sandhya</v>
          </cell>
          <cell r="C148" t="str">
            <v>Malathion 50% EC</v>
          </cell>
          <cell r="D148" t="str">
            <v>Malasan</v>
          </cell>
          <cell r="E148" t="str">
            <v>5000 ML</v>
          </cell>
          <cell r="F148">
            <v>1741.9260000000002</v>
          </cell>
          <cell r="G148">
            <v>18</v>
          </cell>
          <cell r="H148">
            <v>382.37400000000002</v>
          </cell>
          <cell r="I148">
            <v>2124.3000000000002</v>
          </cell>
        </row>
        <row r="149">
          <cell r="B149" t="str">
            <v>Sandhya</v>
          </cell>
          <cell r="C149" t="str">
            <v>Malathion 50% EC</v>
          </cell>
          <cell r="D149" t="str">
            <v>Malasan</v>
          </cell>
          <cell r="E149" t="str">
            <v>1000 ML</v>
          </cell>
          <cell r="F149">
            <v>355.74059999999997</v>
          </cell>
          <cell r="G149">
            <v>18</v>
          </cell>
          <cell r="H149">
            <v>78.089399999999998</v>
          </cell>
          <cell r="I149">
            <v>433.83</v>
          </cell>
        </row>
        <row r="150">
          <cell r="B150" t="str">
            <v>Sandhya</v>
          </cell>
          <cell r="C150" t="str">
            <v>Malathion 50% EC</v>
          </cell>
          <cell r="D150" t="str">
            <v>Malasan</v>
          </cell>
          <cell r="E150" t="str">
            <v>500 ML</v>
          </cell>
          <cell r="F150">
            <v>186.14</v>
          </cell>
          <cell r="G150">
            <v>18</v>
          </cell>
          <cell r="H150">
            <v>40.86</v>
          </cell>
          <cell r="I150">
            <v>227</v>
          </cell>
        </row>
        <row r="151">
          <cell r="B151" t="str">
            <v>Sandhya</v>
          </cell>
          <cell r="C151" t="str">
            <v>Malathion 50% EC</v>
          </cell>
          <cell r="D151" t="str">
            <v>Malasan</v>
          </cell>
          <cell r="E151" t="str">
            <v>250 ML</v>
          </cell>
          <cell r="F151">
            <v>97.670199999999994</v>
          </cell>
          <cell r="G151">
            <v>18</v>
          </cell>
          <cell r="H151">
            <v>21.439799999999998</v>
          </cell>
          <cell r="I151">
            <v>119.11</v>
          </cell>
        </row>
        <row r="152">
          <cell r="B152" t="str">
            <v>Sandhya</v>
          </cell>
          <cell r="C152" t="str">
            <v>Malathion 50% EC</v>
          </cell>
          <cell r="D152" t="str">
            <v>Malasan</v>
          </cell>
          <cell r="E152" t="str">
            <v>100 ML</v>
          </cell>
          <cell r="F152">
            <v>42.746600000000001</v>
          </cell>
          <cell r="G152">
            <v>18</v>
          </cell>
          <cell r="H152">
            <v>9.3834</v>
          </cell>
          <cell r="I152">
            <v>52.13</v>
          </cell>
        </row>
        <row r="153">
          <cell r="B153" t="str">
            <v>Sandhya</v>
          </cell>
          <cell r="C153" t="str">
            <v xml:space="preserve">Indoxacarb 14.5% SC </v>
          </cell>
          <cell r="D153" t="str">
            <v>San Carb</v>
          </cell>
          <cell r="E153" t="str">
            <v>1000 ML</v>
          </cell>
          <cell r="F153">
            <v>1835.7339999999999</v>
          </cell>
          <cell r="G153">
            <v>18</v>
          </cell>
          <cell r="H153">
            <v>402.96599999999995</v>
          </cell>
          <cell r="I153">
            <v>2238.6999999999998</v>
          </cell>
        </row>
        <row r="154">
          <cell r="B154" t="str">
            <v>Sandhya</v>
          </cell>
          <cell r="C154" t="str">
            <v xml:space="preserve">Indoxacarb 14.5% SC </v>
          </cell>
          <cell r="D154" t="str">
            <v>San Carb</v>
          </cell>
          <cell r="E154" t="str">
            <v>500 ML</v>
          </cell>
          <cell r="F154">
            <v>931.36419999999998</v>
          </cell>
          <cell r="G154">
            <v>18</v>
          </cell>
          <cell r="H154">
            <v>204.44579999999999</v>
          </cell>
          <cell r="I154">
            <v>1135.81</v>
          </cell>
        </row>
        <row r="155">
          <cell r="B155" t="str">
            <v>Sandhya</v>
          </cell>
          <cell r="C155" t="str">
            <v xml:space="preserve">Indoxacarb 14.5% SC </v>
          </cell>
          <cell r="D155" t="str">
            <v>San Carb</v>
          </cell>
          <cell r="E155" t="str">
            <v>200 ML</v>
          </cell>
          <cell r="F155">
            <v>376.68340000000001</v>
          </cell>
          <cell r="G155">
            <v>18</v>
          </cell>
          <cell r="H155">
            <v>82.686599999999999</v>
          </cell>
          <cell r="I155">
            <v>459.37</v>
          </cell>
        </row>
        <row r="156">
          <cell r="B156" t="str">
            <v>Sandhya</v>
          </cell>
          <cell r="C156" t="str">
            <v xml:space="preserve">Indoxacarb 14.5% SC </v>
          </cell>
          <cell r="D156" t="str">
            <v>San Carb</v>
          </cell>
          <cell r="E156" t="str">
            <v>100 ML</v>
          </cell>
          <cell r="F156">
            <v>191.67500000000001</v>
          </cell>
          <cell r="G156">
            <v>18</v>
          </cell>
          <cell r="H156">
            <v>42.074999999999996</v>
          </cell>
          <cell r="I156">
            <v>233.75</v>
          </cell>
        </row>
        <row r="157">
          <cell r="B157" t="str">
            <v>Sandhya</v>
          </cell>
          <cell r="C157" t="str">
            <v>Pymetrozine 50% WG</v>
          </cell>
          <cell r="D157" t="str">
            <v>Mezine</v>
          </cell>
          <cell r="E157" t="str">
            <v>1000 GMS</v>
          </cell>
          <cell r="F157">
            <v>1088.837</v>
          </cell>
          <cell r="G157">
            <v>18</v>
          </cell>
          <cell r="H157">
            <v>239.01299999999998</v>
          </cell>
          <cell r="I157">
            <v>1327.85</v>
          </cell>
        </row>
        <row r="158">
          <cell r="B158" t="str">
            <v>Sandhya</v>
          </cell>
          <cell r="C158" t="str">
            <v>Pymetrozine 50% WG</v>
          </cell>
          <cell r="D158" t="str">
            <v>Mezine</v>
          </cell>
          <cell r="E158" t="str">
            <v>500 GMS</v>
          </cell>
          <cell r="F158">
            <v>566.91520000000003</v>
          </cell>
          <cell r="G158">
            <v>18</v>
          </cell>
          <cell r="H158">
            <v>124.4448</v>
          </cell>
          <cell r="I158">
            <v>691.36</v>
          </cell>
        </row>
        <row r="159">
          <cell r="B159" t="str">
            <v>Sandhya</v>
          </cell>
          <cell r="C159" t="str">
            <v>Pymetrozine 50% WG</v>
          </cell>
          <cell r="D159" t="str">
            <v>Mezine</v>
          </cell>
          <cell r="E159" t="str">
            <v>250 GMS</v>
          </cell>
          <cell r="F159">
            <v>292.46120000000002</v>
          </cell>
          <cell r="G159">
            <v>18</v>
          </cell>
          <cell r="H159">
            <v>64.198800000000006</v>
          </cell>
          <cell r="I159">
            <v>356.66</v>
          </cell>
        </row>
        <row r="160">
          <cell r="B160" t="str">
            <v>Sandhya</v>
          </cell>
          <cell r="C160" t="str">
            <v>Pymetrozine 50% WG</v>
          </cell>
          <cell r="D160" t="str">
            <v>Mezine</v>
          </cell>
          <cell r="E160" t="str">
            <v>120 GMS</v>
          </cell>
          <cell r="F160">
            <v>145.77960000000002</v>
          </cell>
          <cell r="G160">
            <v>18</v>
          </cell>
          <cell r="H160">
            <v>32.000399999999999</v>
          </cell>
          <cell r="I160">
            <v>177.78</v>
          </cell>
        </row>
        <row r="161">
          <cell r="B161" t="str">
            <v>Sandhya</v>
          </cell>
          <cell r="C161" t="str">
            <v>Tolfenpyrad 15% EC</v>
          </cell>
          <cell r="D161" t="str">
            <v>Tolsan</v>
          </cell>
          <cell r="E161" t="str">
            <v>1000 ML</v>
          </cell>
          <cell r="F161">
            <v>1079.8416000000002</v>
          </cell>
          <cell r="G161">
            <v>18</v>
          </cell>
          <cell r="H161">
            <v>237.03840000000002</v>
          </cell>
          <cell r="I161">
            <v>1316.88</v>
          </cell>
        </row>
        <row r="162">
          <cell r="B162" t="str">
            <v>Sandhya</v>
          </cell>
          <cell r="C162" t="str">
            <v>Tolfenpyrad 15% EC</v>
          </cell>
          <cell r="D162" t="str">
            <v>Tolsan</v>
          </cell>
          <cell r="E162" t="str">
            <v>500 ML</v>
          </cell>
          <cell r="F162">
            <v>549.81819999999993</v>
          </cell>
          <cell r="G162">
            <v>18</v>
          </cell>
          <cell r="H162">
            <v>120.6918</v>
          </cell>
          <cell r="I162">
            <v>670.51</v>
          </cell>
        </row>
        <row r="163">
          <cell r="B163" t="str">
            <v>Sandhya</v>
          </cell>
          <cell r="C163" t="str">
            <v>Tolfenpyrad 15% EC</v>
          </cell>
          <cell r="D163" t="str">
            <v>Tolsan</v>
          </cell>
          <cell r="E163" t="str">
            <v>250 ML</v>
          </cell>
          <cell r="F163">
            <v>279.40680000000003</v>
          </cell>
          <cell r="G163">
            <v>18</v>
          </cell>
          <cell r="H163">
            <v>61.333199999999998</v>
          </cell>
          <cell r="I163">
            <v>340.74</v>
          </cell>
        </row>
        <row r="164">
          <cell r="B164" t="str">
            <v>Sandhya</v>
          </cell>
          <cell r="C164" t="str">
            <v>Tolfenpyrad 15% EC</v>
          </cell>
          <cell r="D164" t="str">
            <v>Tolsan</v>
          </cell>
          <cell r="E164" t="str">
            <v>100 ML</v>
          </cell>
          <cell r="F164">
            <v>115.36580000000001</v>
          </cell>
          <cell r="G164">
            <v>18</v>
          </cell>
          <cell r="H164">
            <v>25.324199999999998</v>
          </cell>
          <cell r="I164">
            <v>140.69</v>
          </cell>
        </row>
        <row r="165">
          <cell r="B165" t="str">
            <v>Sandhya</v>
          </cell>
          <cell r="C165" t="str">
            <v>Azoxystrobin 11% EW + Tebuconazole 18.3% SC</v>
          </cell>
          <cell r="D165" t="str">
            <v>San Azot</v>
          </cell>
          <cell r="E165" t="str">
            <v>1000 ML</v>
          </cell>
          <cell r="F165">
            <v>643.02760000000001</v>
          </cell>
          <cell r="G165">
            <v>18</v>
          </cell>
          <cell r="H165">
            <v>141.15239999999997</v>
          </cell>
          <cell r="I165">
            <v>784.18</v>
          </cell>
        </row>
        <row r="166">
          <cell r="B166" t="str">
            <v>Sandhya</v>
          </cell>
          <cell r="C166" t="str">
            <v>Azoxystrobin 11% EW + Tebuconazole 18.3% SC</v>
          </cell>
          <cell r="D166" t="str">
            <v>San Azot</v>
          </cell>
          <cell r="E166" t="str">
            <v>500 ML</v>
          </cell>
          <cell r="F166">
            <v>330.3698</v>
          </cell>
          <cell r="G166">
            <v>18</v>
          </cell>
          <cell r="H166">
            <v>72.520199999999988</v>
          </cell>
          <cell r="I166">
            <v>402.89</v>
          </cell>
        </row>
        <row r="167">
          <cell r="B167" t="str">
            <v>Sandhya</v>
          </cell>
          <cell r="C167" t="str">
            <v>Azoxystrobin 11% EW + Tebuconazole 18.3% SC</v>
          </cell>
          <cell r="D167" t="str">
            <v>San Azot</v>
          </cell>
          <cell r="E167" t="str">
            <v>250 ML</v>
          </cell>
          <cell r="F167">
            <v>169.54319999999998</v>
          </cell>
          <cell r="G167">
            <v>18</v>
          </cell>
          <cell r="H167">
            <v>37.216799999999999</v>
          </cell>
          <cell r="I167">
            <v>206.76</v>
          </cell>
        </row>
        <row r="168">
          <cell r="B168" t="str">
            <v>Sandhya</v>
          </cell>
          <cell r="C168" t="str">
            <v>Azoxystrobin 11% EW + Tebuconazole 18.3% SC</v>
          </cell>
          <cell r="D168" t="str">
            <v>San Azot</v>
          </cell>
          <cell r="E168" t="str">
            <v>100 ML</v>
          </cell>
          <cell r="F168">
            <v>71.364599999999996</v>
          </cell>
          <cell r="G168">
            <v>18</v>
          </cell>
          <cell r="H168">
            <v>15.6654</v>
          </cell>
          <cell r="I168">
            <v>87.03</v>
          </cell>
        </row>
        <row r="169">
          <cell r="B169" t="str">
            <v>Sandhya</v>
          </cell>
          <cell r="C169" t="str">
            <v>Copper Oxychloride 50% WP</v>
          </cell>
          <cell r="D169" t="str">
            <v>Sancox</v>
          </cell>
          <cell r="E169" t="str">
            <v>500 GMS</v>
          </cell>
          <cell r="F169">
            <v>310.452</v>
          </cell>
          <cell r="G169">
            <v>18</v>
          </cell>
          <cell r="H169">
            <v>68.147999999999996</v>
          </cell>
          <cell r="I169">
            <v>378.6</v>
          </cell>
        </row>
        <row r="170">
          <cell r="B170" t="str">
            <v>Sandhya</v>
          </cell>
          <cell r="C170" t="str">
            <v>Carbendazim 50% WP</v>
          </cell>
          <cell r="D170" t="str">
            <v>Sanzim</v>
          </cell>
          <cell r="E170" t="str">
            <v>1000 GMS</v>
          </cell>
          <cell r="F170">
            <v>413.93600000000004</v>
          </cell>
          <cell r="G170">
            <v>18</v>
          </cell>
          <cell r="H170">
            <v>90.864000000000004</v>
          </cell>
          <cell r="I170">
            <v>504.8</v>
          </cell>
        </row>
        <row r="171">
          <cell r="B171" t="str">
            <v>Sandhya</v>
          </cell>
          <cell r="C171" t="str">
            <v>Carbendazim 50% WP</v>
          </cell>
          <cell r="D171" t="str">
            <v>Sanzim</v>
          </cell>
          <cell r="E171" t="str">
            <v>500 GMS</v>
          </cell>
          <cell r="F171">
            <v>215.06959999999998</v>
          </cell>
          <cell r="G171">
            <v>18</v>
          </cell>
          <cell r="H171">
            <v>47.210399999999993</v>
          </cell>
          <cell r="I171">
            <v>262.27999999999997</v>
          </cell>
        </row>
        <row r="172">
          <cell r="B172" t="str">
            <v>Sandhya</v>
          </cell>
          <cell r="C172" t="str">
            <v>Carbendazim 50% WP</v>
          </cell>
          <cell r="D172" t="str">
            <v>Sanzim</v>
          </cell>
          <cell r="E172" t="str">
            <v>250 GMS</v>
          </cell>
          <cell r="F172">
            <v>112.03659999999999</v>
          </cell>
          <cell r="G172">
            <v>18</v>
          </cell>
          <cell r="H172">
            <v>24.593399999999999</v>
          </cell>
          <cell r="I172">
            <v>136.63</v>
          </cell>
        </row>
        <row r="173">
          <cell r="B173" t="str">
            <v>Sandhya</v>
          </cell>
          <cell r="C173" t="str">
            <v>Carbendazim 50% WP</v>
          </cell>
          <cell r="D173" t="str">
            <v>Sanzim</v>
          </cell>
          <cell r="E173" t="str">
            <v>100 GMS</v>
          </cell>
          <cell r="F173">
            <v>47.510799999999996</v>
          </cell>
          <cell r="G173">
            <v>18</v>
          </cell>
          <cell r="H173">
            <v>10.4292</v>
          </cell>
          <cell r="I173">
            <v>57.94</v>
          </cell>
        </row>
        <row r="174">
          <cell r="B174" t="str">
            <v>Sandhya</v>
          </cell>
          <cell r="C174" t="str">
            <v>Sulpher 80% WG</v>
          </cell>
          <cell r="D174" t="str">
            <v>San Sul</v>
          </cell>
          <cell r="E174" t="str">
            <v>5000 GMS</v>
          </cell>
          <cell r="F174">
            <v>337.45459999999997</v>
          </cell>
          <cell r="G174">
            <v>18</v>
          </cell>
          <cell r="H174">
            <v>74.075399999999988</v>
          </cell>
          <cell r="I174">
            <v>411.53</v>
          </cell>
        </row>
        <row r="175">
          <cell r="B175" t="str">
            <v>Sandhya</v>
          </cell>
          <cell r="C175" t="str">
            <v>Sulpher 80% WG</v>
          </cell>
          <cell r="D175" t="str">
            <v>San Sul</v>
          </cell>
          <cell r="E175" t="str">
            <v>3000 GMS</v>
          </cell>
          <cell r="F175">
            <v>242.96600000000001</v>
          </cell>
          <cell r="G175">
            <v>18</v>
          </cell>
          <cell r="H175">
            <v>53.334000000000003</v>
          </cell>
          <cell r="I175">
            <v>296.3</v>
          </cell>
        </row>
        <row r="176">
          <cell r="B176" t="str">
            <v>Sandhya</v>
          </cell>
          <cell r="C176" t="str">
            <v>Sulpher 80% WG</v>
          </cell>
          <cell r="D176" t="str">
            <v>San Sul</v>
          </cell>
          <cell r="E176" t="str">
            <v>3000 GMS</v>
          </cell>
          <cell r="F176">
            <v>202.4744</v>
          </cell>
          <cell r="G176">
            <v>18</v>
          </cell>
          <cell r="H176">
            <v>44.445599999999999</v>
          </cell>
          <cell r="I176">
            <v>246.92</v>
          </cell>
        </row>
        <row r="177">
          <cell r="B177" t="str">
            <v>Sandhya</v>
          </cell>
          <cell r="C177" t="str">
            <v>Sulpher 80% WG</v>
          </cell>
          <cell r="D177" t="str">
            <v>San Sul</v>
          </cell>
          <cell r="E177" t="str">
            <v>1000 GMS</v>
          </cell>
          <cell r="F177">
            <v>72.889800000000008</v>
          </cell>
          <cell r="G177">
            <v>18</v>
          </cell>
          <cell r="H177">
            <v>16.0002</v>
          </cell>
          <cell r="I177">
            <v>88.89</v>
          </cell>
        </row>
        <row r="178">
          <cell r="B178" t="str">
            <v>Sandhya</v>
          </cell>
          <cell r="C178" t="str">
            <v>Sulpher 80% WG</v>
          </cell>
          <cell r="D178" t="str">
            <v>San Sul</v>
          </cell>
          <cell r="E178" t="str">
            <v>500 GMS</v>
          </cell>
          <cell r="F178">
            <v>38.244799999999998</v>
          </cell>
          <cell r="G178">
            <v>18</v>
          </cell>
          <cell r="H178">
            <v>8.3951999999999991</v>
          </cell>
          <cell r="I178">
            <v>46.64</v>
          </cell>
        </row>
        <row r="179">
          <cell r="B179" t="str">
            <v>Sandhya</v>
          </cell>
          <cell r="C179" t="str">
            <v>Sulpher 80% WG</v>
          </cell>
          <cell r="D179" t="str">
            <v>San Sul</v>
          </cell>
          <cell r="E179" t="str">
            <v>1000 GMS</v>
          </cell>
          <cell r="F179">
            <v>67.494200000000006</v>
          </cell>
          <cell r="G179">
            <v>18</v>
          </cell>
          <cell r="H179">
            <v>14.815799999999999</v>
          </cell>
          <cell r="I179">
            <v>82.31</v>
          </cell>
        </row>
        <row r="180">
          <cell r="B180" t="str">
            <v>Sandhya</v>
          </cell>
          <cell r="C180" t="str">
            <v>Sulpher 80% WG</v>
          </cell>
          <cell r="D180" t="str">
            <v>San Sul</v>
          </cell>
          <cell r="E180" t="str">
            <v>500 GMS</v>
          </cell>
          <cell r="F180">
            <v>35.095999999999997</v>
          </cell>
          <cell r="G180">
            <v>18</v>
          </cell>
          <cell r="H180">
            <v>7.7039999999999988</v>
          </cell>
          <cell r="I180">
            <v>42.8</v>
          </cell>
        </row>
        <row r="181">
          <cell r="B181" t="str">
            <v>Sandhya</v>
          </cell>
          <cell r="C181" t="str">
            <v>Sulpher 80% WG</v>
          </cell>
          <cell r="D181" t="str">
            <v>San Sul</v>
          </cell>
          <cell r="E181" t="str">
            <v>1000 GMS</v>
          </cell>
          <cell r="F181">
            <v>80.089399999999998</v>
          </cell>
          <cell r="G181">
            <v>18</v>
          </cell>
          <cell r="H181">
            <v>17.5806</v>
          </cell>
          <cell r="I181">
            <v>97.67</v>
          </cell>
        </row>
        <row r="182">
          <cell r="B182" t="str">
            <v>Sandhya</v>
          </cell>
          <cell r="C182" t="str">
            <v>Sulpher 80% WG</v>
          </cell>
          <cell r="D182" t="str">
            <v>San Sul</v>
          </cell>
          <cell r="E182" t="str">
            <v>1000 GMS</v>
          </cell>
          <cell r="F182">
            <v>67.494200000000006</v>
          </cell>
          <cell r="G182">
            <v>18</v>
          </cell>
          <cell r="H182">
            <v>14.815799999999999</v>
          </cell>
          <cell r="I182">
            <v>82.31</v>
          </cell>
        </row>
        <row r="183">
          <cell r="B183" t="str">
            <v>Sandhya</v>
          </cell>
          <cell r="C183" t="str">
            <v>Sulpher 80% WG</v>
          </cell>
          <cell r="D183" t="str">
            <v>San Sul</v>
          </cell>
          <cell r="E183" t="str">
            <v>1000 GMS</v>
          </cell>
          <cell r="F183">
            <v>75.587600000000009</v>
          </cell>
          <cell r="G183">
            <v>18</v>
          </cell>
          <cell r="H183">
            <v>16.592400000000001</v>
          </cell>
          <cell r="I183">
            <v>92.18</v>
          </cell>
        </row>
        <row r="184">
          <cell r="B184" t="str">
            <v>Sandhya</v>
          </cell>
          <cell r="C184" t="str">
            <v>Sulpher 80% WG</v>
          </cell>
          <cell r="D184" t="str">
            <v>San Sul</v>
          </cell>
          <cell r="E184" t="str">
            <v>500 GMS</v>
          </cell>
          <cell r="F184">
            <v>38.244799999999998</v>
          </cell>
          <cell r="G184">
            <v>18</v>
          </cell>
          <cell r="H184">
            <v>8.3951999999999991</v>
          </cell>
          <cell r="I184">
            <v>46.64</v>
          </cell>
        </row>
        <row r="185">
          <cell r="B185" t="str">
            <v>Sandhya</v>
          </cell>
          <cell r="C185" t="str">
            <v>Sulpher 65% + Tebuconazole 10% WG</v>
          </cell>
          <cell r="D185" t="str">
            <v>Tuan</v>
          </cell>
          <cell r="E185" t="str">
            <v>1000 GMS</v>
          </cell>
          <cell r="F185">
            <v>296.95479999999998</v>
          </cell>
          <cell r="G185">
            <v>18</v>
          </cell>
          <cell r="H185">
            <v>65.185199999999995</v>
          </cell>
          <cell r="I185">
            <v>362.14</v>
          </cell>
        </row>
        <row r="186">
          <cell r="B186" t="str">
            <v>Sandhya</v>
          </cell>
          <cell r="C186" t="str">
            <v>Sulpher 65% + Tebuconazole 10% WG</v>
          </cell>
          <cell r="D186" t="str">
            <v>Tuan</v>
          </cell>
          <cell r="E186" t="str">
            <v>500 GMS</v>
          </cell>
          <cell r="F186">
            <v>156.57900000000001</v>
          </cell>
          <cell r="G186">
            <v>18</v>
          </cell>
          <cell r="H186">
            <v>34.370999999999995</v>
          </cell>
          <cell r="I186">
            <v>190.95</v>
          </cell>
        </row>
        <row r="187">
          <cell r="B187" t="str">
            <v>Sandhya</v>
          </cell>
          <cell r="C187" t="str">
            <v>Sulpher 65% + Tebuconazole 10% WG</v>
          </cell>
          <cell r="D187" t="str">
            <v>Tuan</v>
          </cell>
          <cell r="E187" t="str">
            <v>250 GMS</v>
          </cell>
          <cell r="F187">
            <v>82.787199999999999</v>
          </cell>
          <cell r="G187">
            <v>18</v>
          </cell>
          <cell r="H187">
            <v>18.172799999999999</v>
          </cell>
          <cell r="I187">
            <v>100.96</v>
          </cell>
        </row>
        <row r="188">
          <cell r="B188" t="str">
            <v>Sandhya</v>
          </cell>
          <cell r="C188" t="str">
            <v>Sulpher 65% + Tebuconazole 10% WG</v>
          </cell>
          <cell r="D188" t="str">
            <v>Tuan</v>
          </cell>
          <cell r="E188" t="str">
            <v>100 GMS</v>
          </cell>
          <cell r="F188">
            <v>36.711400000000005</v>
          </cell>
          <cell r="G188">
            <v>18</v>
          </cell>
          <cell r="H188">
            <v>8.0586000000000002</v>
          </cell>
          <cell r="I188">
            <v>44.77</v>
          </cell>
        </row>
        <row r="189">
          <cell r="B189" t="str">
            <v>Sandhya</v>
          </cell>
          <cell r="C189" t="str">
            <v>Mancozeb 75% WP</v>
          </cell>
          <cell r="D189" t="str">
            <v>San Manco +</v>
          </cell>
          <cell r="E189" t="str">
            <v>1000 GMS</v>
          </cell>
          <cell r="F189">
            <v>358.49580000000003</v>
          </cell>
          <cell r="G189">
            <v>18</v>
          </cell>
          <cell r="H189">
            <v>78.694199999999995</v>
          </cell>
          <cell r="I189">
            <v>437.19</v>
          </cell>
        </row>
        <row r="190">
          <cell r="B190" t="str">
            <v>Sandhya</v>
          </cell>
          <cell r="C190" t="str">
            <v>Mancozeb 75% WP</v>
          </cell>
          <cell r="D190" t="str">
            <v>San Manco +</v>
          </cell>
          <cell r="E190" t="str">
            <v>500 GMS</v>
          </cell>
          <cell r="F190">
            <v>187.51760000000002</v>
          </cell>
          <cell r="G190">
            <v>18</v>
          </cell>
          <cell r="H190">
            <v>41.162399999999998</v>
          </cell>
          <cell r="I190">
            <v>228.68</v>
          </cell>
        </row>
        <row r="191">
          <cell r="B191" t="str">
            <v>Sandhya</v>
          </cell>
          <cell r="C191" t="str">
            <v>Mancozeb 75% WP</v>
          </cell>
          <cell r="D191" t="str">
            <v>San Manco +</v>
          </cell>
          <cell r="E191" t="str">
            <v>250 GMS</v>
          </cell>
          <cell r="F191">
            <v>98.359000000000009</v>
          </cell>
          <cell r="G191">
            <v>18</v>
          </cell>
          <cell r="H191">
            <v>21.591000000000001</v>
          </cell>
          <cell r="I191">
            <v>119.95</v>
          </cell>
        </row>
        <row r="192">
          <cell r="B192" t="str">
            <v>Sandhya</v>
          </cell>
          <cell r="C192" t="str">
            <v>Mancozeb 75% WP</v>
          </cell>
          <cell r="D192" t="str">
            <v>San Manco +</v>
          </cell>
          <cell r="E192" t="str">
            <v>100 GMS</v>
          </cell>
          <cell r="F192">
            <v>42.098800000000004</v>
          </cell>
          <cell r="G192">
            <v>18</v>
          </cell>
          <cell r="H192">
            <v>9.241200000000001</v>
          </cell>
          <cell r="I192">
            <v>51.34</v>
          </cell>
        </row>
        <row r="193">
          <cell r="B193" t="str">
            <v>Sandhya</v>
          </cell>
          <cell r="C193" t="str">
            <v xml:space="preserve">Mancozeb 64% + Metlaxyl 8%WP </v>
          </cell>
          <cell r="D193" t="str">
            <v>San Maxyl</v>
          </cell>
          <cell r="E193" t="str">
            <v>1000 GMS</v>
          </cell>
          <cell r="F193">
            <v>404.94060000000002</v>
          </cell>
          <cell r="G193">
            <v>18</v>
          </cell>
          <cell r="H193">
            <v>88.889399999999995</v>
          </cell>
          <cell r="I193">
            <v>493.83</v>
          </cell>
        </row>
        <row r="194">
          <cell r="B194" t="str">
            <v>Sandhya</v>
          </cell>
          <cell r="C194" t="str">
            <v xml:space="preserve">Mancozeb 64% + Metlaxyl 8%WP </v>
          </cell>
          <cell r="D194" t="str">
            <v>San Maxyl</v>
          </cell>
          <cell r="E194" t="str">
            <v>500 GMS</v>
          </cell>
          <cell r="F194">
            <v>209.22300000000001</v>
          </cell>
          <cell r="G194">
            <v>18</v>
          </cell>
          <cell r="H194">
            <v>45.927</v>
          </cell>
          <cell r="I194">
            <v>255.15</v>
          </cell>
        </row>
        <row r="195">
          <cell r="B195" t="str">
            <v>Sandhya</v>
          </cell>
          <cell r="C195" t="str">
            <v xml:space="preserve">Mancozeb 64% + Metlaxyl 8%WP </v>
          </cell>
          <cell r="D195" t="str">
            <v>San Maxyl</v>
          </cell>
          <cell r="E195" t="str">
            <v>250 GMS</v>
          </cell>
          <cell r="F195">
            <v>109.1092</v>
          </cell>
          <cell r="G195">
            <v>18</v>
          </cell>
          <cell r="H195">
            <v>23.950800000000001</v>
          </cell>
          <cell r="I195">
            <v>133.06</v>
          </cell>
        </row>
        <row r="196">
          <cell r="B196" t="str">
            <v>Sandhya</v>
          </cell>
          <cell r="C196" t="str">
            <v xml:space="preserve">Mancozeb 64% + Metlaxyl 8%WP </v>
          </cell>
          <cell r="D196" t="str">
            <v>San Maxyl</v>
          </cell>
          <cell r="E196" t="str">
            <v>100 GMS</v>
          </cell>
          <cell r="F196">
            <v>46.346400000000003</v>
          </cell>
          <cell r="G196">
            <v>18</v>
          </cell>
          <cell r="H196">
            <v>10.1736</v>
          </cell>
          <cell r="I196">
            <v>56.52</v>
          </cell>
        </row>
        <row r="197">
          <cell r="B197" t="str">
            <v>Sandhya</v>
          </cell>
          <cell r="C197" t="str">
            <v>Carbendazim 12% + Mancozeb 63% WP</v>
          </cell>
          <cell r="D197" t="str">
            <v>San Manco C</v>
          </cell>
          <cell r="E197" t="str">
            <v>1000 GMS</v>
          </cell>
          <cell r="F197">
            <v>364.44900000000001</v>
          </cell>
          <cell r="G197">
            <v>18</v>
          </cell>
          <cell r="H197">
            <v>80.000999999999991</v>
          </cell>
          <cell r="I197">
            <v>444.45</v>
          </cell>
        </row>
        <row r="198">
          <cell r="B198" t="str">
            <v>Sandhya</v>
          </cell>
          <cell r="C198" t="str">
            <v>Carbendazim 12% + Mancozeb 63% WP</v>
          </cell>
          <cell r="D198" t="str">
            <v>San Manco C</v>
          </cell>
          <cell r="E198" t="str">
            <v>500 GMS</v>
          </cell>
          <cell r="F198">
            <v>190.322</v>
          </cell>
          <cell r="G198">
            <v>18</v>
          </cell>
          <cell r="H198">
            <v>41.777999999999999</v>
          </cell>
          <cell r="I198">
            <v>232.1</v>
          </cell>
        </row>
        <row r="199">
          <cell r="B199" t="str">
            <v>Sandhya</v>
          </cell>
          <cell r="C199" t="str">
            <v>Carbendazim 12% + Mancozeb 63% WP</v>
          </cell>
          <cell r="D199" t="str">
            <v>San Manco C</v>
          </cell>
          <cell r="E199" t="str">
            <v>250 GMS</v>
          </cell>
          <cell r="F199">
            <v>99.662800000000004</v>
          </cell>
          <cell r="G199">
            <v>18</v>
          </cell>
          <cell r="H199">
            <v>21.877200000000002</v>
          </cell>
          <cell r="I199">
            <v>121.54</v>
          </cell>
        </row>
        <row r="200">
          <cell r="B200" t="str">
            <v>Sandhya</v>
          </cell>
          <cell r="C200" t="str">
            <v>Carbendazim 12% + Mancozeb 63% WP</v>
          </cell>
          <cell r="D200" t="str">
            <v>San Manco C</v>
          </cell>
          <cell r="E200" t="str">
            <v>100 GMS</v>
          </cell>
          <cell r="F200">
            <v>42.566199999999995</v>
          </cell>
          <cell r="G200">
            <v>18</v>
          </cell>
          <cell r="H200">
            <v>9.3437999999999999</v>
          </cell>
          <cell r="I200">
            <v>51.91</v>
          </cell>
        </row>
        <row r="201">
          <cell r="B201" t="str">
            <v>Sandhya</v>
          </cell>
          <cell r="C201" t="str">
            <v>Hexaconazole 5% SC</v>
          </cell>
          <cell r="D201" t="str">
            <v>San Hex 5%</v>
          </cell>
          <cell r="E201" t="str">
            <v>20000 ML</v>
          </cell>
          <cell r="F201">
            <v>3972.1948000000002</v>
          </cell>
          <cell r="G201">
            <v>18</v>
          </cell>
          <cell r="H201">
            <v>871.9452</v>
          </cell>
          <cell r="I201">
            <v>4844.1400000000003</v>
          </cell>
        </row>
        <row r="202">
          <cell r="B202" t="str">
            <v>Sandhya</v>
          </cell>
          <cell r="C202" t="str">
            <v>Hexaconazole 5% SC</v>
          </cell>
          <cell r="D202" t="str">
            <v>San Hex 5% Sc</v>
          </cell>
          <cell r="E202" t="str">
            <v>5000 ML</v>
          </cell>
          <cell r="F202">
            <v>1029.1574000000001</v>
          </cell>
          <cell r="G202">
            <v>18</v>
          </cell>
          <cell r="H202">
            <v>225.91259999999997</v>
          </cell>
          <cell r="I202">
            <v>1255.07</v>
          </cell>
        </row>
        <row r="203">
          <cell r="B203" t="str">
            <v>Sandhya</v>
          </cell>
          <cell r="C203" t="str">
            <v>Hexaconazole 5% SC</v>
          </cell>
          <cell r="D203" t="str">
            <v>San Hex 5%</v>
          </cell>
          <cell r="E203" t="str">
            <v>1000 ML</v>
          </cell>
          <cell r="F203">
            <v>213.05240000000001</v>
          </cell>
          <cell r="G203">
            <v>18</v>
          </cell>
          <cell r="H203">
            <v>46.767599999999995</v>
          </cell>
          <cell r="I203">
            <v>259.82</v>
          </cell>
        </row>
        <row r="204">
          <cell r="B204" t="str">
            <v>Sandhya</v>
          </cell>
          <cell r="C204" t="str">
            <v>Hexaconazole 5% SC</v>
          </cell>
          <cell r="D204" t="str">
            <v>San Hex 5%</v>
          </cell>
          <cell r="E204" t="str">
            <v>500 ML</v>
          </cell>
          <cell r="F204">
            <v>114.6524</v>
          </cell>
          <cell r="G204">
            <v>18</v>
          </cell>
          <cell r="H204">
            <v>25.167599999999997</v>
          </cell>
          <cell r="I204">
            <v>139.82</v>
          </cell>
        </row>
        <row r="205">
          <cell r="B205" t="str">
            <v>Sandhya</v>
          </cell>
          <cell r="C205" t="str">
            <v>Hexaconazole 5% SC</v>
          </cell>
          <cell r="D205" t="str">
            <v>San Hex 5%</v>
          </cell>
          <cell r="E205" t="str">
            <v>250 ML</v>
          </cell>
          <cell r="F205">
            <v>61.836199999999998</v>
          </cell>
          <cell r="G205">
            <v>18</v>
          </cell>
          <cell r="H205">
            <v>13.573799999999999</v>
          </cell>
          <cell r="I205">
            <v>75.41</v>
          </cell>
        </row>
        <row r="206">
          <cell r="B206" t="str">
            <v>Sandhya</v>
          </cell>
          <cell r="C206" t="str">
            <v>Hexaconazole 5% SC</v>
          </cell>
          <cell r="D206" t="str">
            <v>San Hex 5%</v>
          </cell>
          <cell r="E206" t="str">
            <v>100 ML</v>
          </cell>
          <cell r="F206">
            <v>26.543399999999998</v>
          </cell>
          <cell r="G206">
            <v>18</v>
          </cell>
          <cell r="H206">
            <v>5.8265999999999991</v>
          </cell>
          <cell r="I206">
            <v>32.369999999999997</v>
          </cell>
        </row>
        <row r="207">
          <cell r="B207" t="str">
            <v>Sandhya</v>
          </cell>
          <cell r="C207" t="str">
            <v>Hexaconazole 5% EC</v>
          </cell>
          <cell r="D207" t="str">
            <v>San Hex E</v>
          </cell>
          <cell r="E207" t="str">
            <v>20000 ML</v>
          </cell>
          <cell r="F207">
            <v>4751.3014000000003</v>
          </cell>
          <cell r="G207">
            <v>18</v>
          </cell>
          <cell r="H207">
            <v>1042.9686000000002</v>
          </cell>
          <cell r="I207">
            <v>5794.27</v>
          </cell>
        </row>
        <row r="208">
          <cell r="B208" t="str">
            <v>Sandhya</v>
          </cell>
          <cell r="C208" t="str">
            <v>Hexaconazole 5% EC</v>
          </cell>
          <cell r="D208" t="str">
            <v>San Hex E</v>
          </cell>
          <cell r="E208" t="str">
            <v>5000 ML</v>
          </cell>
          <cell r="F208">
            <v>1223.8172</v>
          </cell>
          <cell r="G208">
            <v>18</v>
          </cell>
          <cell r="H208">
            <v>268.64280000000002</v>
          </cell>
          <cell r="I208">
            <v>1492.46</v>
          </cell>
        </row>
        <row r="209">
          <cell r="B209" t="str">
            <v>Sandhya</v>
          </cell>
          <cell r="C209" t="str">
            <v>Hexaconazole 5% EC</v>
          </cell>
          <cell r="D209" t="str">
            <v>San Hex E</v>
          </cell>
          <cell r="E209" t="str">
            <v>1000 ML</v>
          </cell>
          <cell r="F209">
            <v>251.9614</v>
          </cell>
          <cell r="G209">
            <v>18</v>
          </cell>
          <cell r="H209">
            <v>55.308599999999991</v>
          </cell>
          <cell r="I209">
            <v>307.27</v>
          </cell>
        </row>
        <row r="210">
          <cell r="B210" t="str">
            <v>Sandhya</v>
          </cell>
          <cell r="C210" t="str">
            <v>Hexaconazole 5% EC</v>
          </cell>
          <cell r="D210" t="str">
            <v>San Hex E</v>
          </cell>
          <cell r="E210" t="str">
            <v>500 ML</v>
          </cell>
          <cell r="F210">
            <v>134.07819999999998</v>
          </cell>
          <cell r="G210">
            <v>18</v>
          </cell>
          <cell r="H210">
            <v>29.431799999999996</v>
          </cell>
          <cell r="I210">
            <v>163.51</v>
          </cell>
        </row>
        <row r="211">
          <cell r="B211" t="str">
            <v>Sandhya</v>
          </cell>
          <cell r="C211" t="str">
            <v>Hexaconazole 5% EC</v>
          </cell>
          <cell r="D211" t="str">
            <v>San Hex E</v>
          </cell>
          <cell r="E211" t="str">
            <v>250 ML</v>
          </cell>
          <cell r="F211">
            <v>71.536799999999999</v>
          </cell>
          <cell r="G211">
            <v>18</v>
          </cell>
          <cell r="H211">
            <v>15.703199999999999</v>
          </cell>
          <cell r="I211">
            <v>87.24</v>
          </cell>
        </row>
        <row r="212">
          <cell r="B212" t="str">
            <v>Sandhya</v>
          </cell>
          <cell r="C212" t="str">
            <v>Hexaconazole 5% EC</v>
          </cell>
          <cell r="D212" t="str">
            <v>San Hex E</v>
          </cell>
          <cell r="E212" t="str">
            <v>100 ML</v>
          </cell>
          <cell r="F212">
            <v>31.315799999999999</v>
          </cell>
          <cell r="G212">
            <v>18</v>
          </cell>
          <cell r="H212">
            <v>6.8741999999999992</v>
          </cell>
          <cell r="I212">
            <v>38.19</v>
          </cell>
        </row>
        <row r="213">
          <cell r="B213" t="str">
            <v>Sandhya</v>
          </cell>
          <cell r="C213" t="str">
            <v>Isoprothiolane 40% EC</v>
          </cell>
          <cell r="D213" t="str">
            <v>Saniso</v>
          </cell>
          <cell r="E213" t="str">
            <v>1000 ML</v>
          </cell>
          <cell r="F213">
            <v>418.43780000000004</v>
          </cell>
          <cell r="G213">
            <v>18</v>
          </cell>
          <cell r="H213">
            <v>91.852199999999996</v>
          </cell>
          <cell r="I213">
            <v>510.29</v>
          </cell>
        </row>
        <row r="214">
          <cell r="B214" t="str">
            <v>Sandhya</v>
          </cell>
          <cell r="C214" t="str">
            <v>Isoprothiolane 40% EC</v>
          </cell>
          <cell r="D214" t="str">
            <v>Saniso</v>
          </cell>
          <cell r="E214" t="str">
            <v>500 ML</v>
          </cell>
          <cell r="F214">
            <v>217.31639999999999</v>
          </cell>
          <cell r="G214">
            <v>18</v>
          </cell>
          <cell r="H214">
            <v>47.703599999999994</v>
          </cell>
          <cell r="I214">
            <v>265.02</v>
          </cell>
        </row>
        <row r="215">
          <cell r="B215" t="str">
            <v>Sandhya</v>
          </cell>
          <cell r="C215" t="str">
            <v>Isoprothiolane 40% EC</v>
          </cell>
          <cell r="D215" t="str">
            <v>Saniso</v>
          </cell>
          <cell r="E215" t="str">
            <v>250 ML</v>
          </cell>
          <cell r="F215">
            <v>113.16</v>
          </cell>
          <cell r="G215">
            <v>18</v>
          </cell>
          <cell r="H215">
            <v>24.84</v>
          </cell>
          <cell r="I215">
            <v>138</v>
          </cell>
        </row>
        <row r="216">
          <cell r="B216" t="str">
            <v>Sandhya</v>
          </cell>
          <cell r="C216" t="str">
            <v>Isoprothiolane 40% EC</v>
          </cell>
          <cell r="D216" t="str">
            <v>Saniso</v>
          </cell>
          <cell r="E216" t="str">
            <v>100 ML</v>
          </cell>
          <cell r="F216">
            <v>48.863800000000005</v>
          </cell>
          <cell r="G216">
            <v>18</v>
          </cell>
          <cell r="H216">
            <v>10.7262</v>
          </cell>
          <cell r="I216">
            <v>59.59</v>
          </cell>
        </row>
        <row r="217">
          <cell r="B217" t="str">
            <v>Sandhya</v>
          </cell>
          <cell r="C217" t="str">
            <v>Propiconazole 25% EC</v>
          </cell>
          <cell r="D217" t="str">
            <v>San Propi</v>
          </cell>
          <cell r="E217" t="str">
            <v>1000 ML</v>
          </cell>
          <cell r="F217">
            <v>550.06419999999991</v>
          </cell>
          <cell r="G217">
            <v>18</v>
          </cell>
          <cell r="H217">
            <v>120.74579999999999</v>
          </cell>
          <cell r="I217">
            <v>670.81</v>
          </cell>
        </row>
        <row r="218">
          <cell r="B218" t="str">
            <v>Sandhya</v>
          </cell>
          <cell r="C218" t="str">
            <v>Propiconazole 25% EC</v>
          </cell>
          <cell r="D218" t="str">
            <v>San Propi</v>
          </cell>
          <cell r="E218" t="str">
            <v>500 ML</v>
          </cell>
          <cell r="F218">
            <v>283.17059999999998</v>
          </cell>
          <cell r="G218">
            <v>18</v>
          </cell>
          <cell r="H218">
            <v>62.159399999999998</v>
          </cell>
          <cell r="I218">
            <v>345.33</v>
          </cell>
        </row>
        <row r="219">
          <cell r="B219" t="str">
            <v>Sandhya</v>
          </cell>
          <cell r="C219" t="str">
            <v>Propiconazole 25% EC</v>
          </cell>
          <cell r="D219" t="str">
            <v>San Propi</v>
          </cell>
          <cell r="E219" t="str">
            <v>250 ML</v>
          </cell>
          <cell r="F219">
            <v>146.10759999999999</v>
          </cell>
          <cell r="G219">
            <v>18</v>
          </cell>
          <cell r="H219">
            <v>32.072400000000002</v>
          </cell>
          <cell r="I219">
            <v>178.18</v>
          </cell>
        </row>
        <row r="220">
          <cell r="B220" t="str">
            <v>Sandhya</v>
          </cell>
          <cell r="C220" t="str">
            <v>Propiconazole 25% EC</v>
          </cell>
          <cell r="D220" t="str">
            <v>San Propi</v>
          </cell>
          <cell r="E220" t="str">
            <v>100 ML</v>
          </cell>
          <cell r="F220">
            <v>62.065799999999996</v>
          </cell>
          <cell r="G220">
            <v>18</v>
          </cell>
          <cell r="H220">
            <v>13.624199999999998</v>
          </cell>
          <cell r="I220">
            <v>75.69</v>
          </cell>
        </row>
        <row r="221">
          <cell r="B221" t="str">
            <v>Sandhya</v>
          </cell>
          <cell r="C221" t="str">
            <v>Propineb 70% WP</v>
          </cell>
          <cell r="D221" t="str">
            <v>San Prop</v>
          </cell>
          <cell r="E221" t="str">
            <v>1000 GMS</v>
          </cell>
          <cell r="F221">
            <v>454.43580000000003</v>
          </cell>
          <cell r="G221">
            <v>18</v>
          </cell>
          <cell r="H221">
            <v>99.754200000000012</v>
          </cell>
          <cell r="I221">
            <v>554.19000000000005</v>
          </cell>
        </row>
        <row r="222">
          <cell r="B222" t="str">
            <v>Sandhya</v>
          </cell>
          <cell r="C222" t="str">
            <v>Propineb 70% WP</v>
          </cell>
          <cell r="D222" t="str">
            <v>San Prop</v>
          </cell>
          <cell r="E222" t="str">
            <v>500 GMS</v>
          </cell>
          <cell r="F222">
            <v>236.2174</v>
          </cell>
          <cell r="G222">
            <v>18</v>
          </cell>
          <cell r="H222">
            <v>51.852599999999995</v>
          </cell>
          <cell r="I222">
            <v>288.07</v>
          </cell>
        </row>
        <row r="223">
          <cell r="B223" t="str">
            <v>Sandhya</v>
          </cell>
          <cell r="C223" t="str">
            <v>Propineb 70% WP</v>
          </cell>
          <cell r="D223" t="str">
            <v>San Prop</v>
          </cell>
          <cell r="E223" t="str">
            <v>250 GMS</v>
          </cell>
          <cell r="F223">
            <v>124.85319999999999</v>
          </cell>
          <cell r="G223">
            <v>18</v>
          </cell>
          <cell r="H223">
            <v>27.406799999999997</v>
          </cell>
          <cell r="I223">
            <v>152.26</v>
          </cell>
        </row>
        <row r="224">
          <cell r="B224" t="str">
            <v>Sandhya</v>
          </cell>
          <cell r="C224" t="str">
            <v xml:space="preserve">Tebuconazole 25.9% EC </v>
          </cell>
          <cell r="D224" t="str">
            <v>San Teb</v>
          </cell>
          <cell r="E224" t="str">
            <v>1000 ML</v>
          </cell>
          <cell r="F224">
            <v>475.64099999999996</v>
          </cell>
          <cell r="G224">
            <v>18</v>
          </cell>
          <cell r="H224">
            <v>104.40899999999999</v>
          </cell>
          <cell r="I224">
            <v>580.04999999999995</v>
          </cell>
        </row>
        <row r="225">
          <cell r="B225" t="str">
            <v>Sandhya</v>
          </cell>
          <cell r="C225" t="str">
            <v xml:space="preserve">Tebuconazole 25.9% EC </v>
          </cell>
          <cell r="D225" t="str">
            <v>San Teb</v>
          </cell>
          <cell r="E225" t="str">
            <v>500 ML</v>
          </cell>
          <cell r="F225">
            <v>245.47520000000003</v>
          </cell>
          <cell r="G225">
            <v>18</v>
          </cell>
          <cell r="H225">
            <v>53.884799999999998</v>
          </cell>
          <cell r="I225">
            <v>299.36</v>
          </cell>
        </row>
        <row r="226">
          <cell r="B226" t="str">
            <v>Sandhya</v>
          </cell>
          <cell r="C226" t="str">
            <v xml:space="preserve">Tebuconazole 25.9% EC </v>
          </cell>
          <cell r="D226" t="str">
            <v>San Teb</v>
          </cell>
          <cell r="E226" t="str">
            <v>250 ML</v>
          </cell>
          <cell r="F226">
            <v>127.23939999999999</v>
          </cell>
          <cell r="G226">
            <v>18</v>
          </cell>
          <cell r="H226">
            <v>27.930599999999998</v>
          </cell>
          <cell r="I226">
            <v>155.16999999999999</v>
          </cell>
        </row>
        <row r="227">
          <cell r="B227" t="str">
            <v>Sandhya</v>
          </cell>
          <cell r="C227" t="str">
            <v xml:space="preserve">Tebuconazole 25.9% EC </v>
          </cell>
          <cell r="D227" t="str">
            <v>San Teb</v>
          </cell>
          <cell r="E227" t="str">
            <v>100 ML</v>
          </cell>
          <cell r="F227">
            <v>52.7014</v>
          </cell>
          <cell r="G227">
            <v>18</v>
          </cell>
          <cell r="H227">
            <v>11.568599999999998</v>
          </cell>
          <cell r="I227">
            <v>64.27</v>
          </cell>
        </row>
        <row r="228">
          <cell r="B228" t="str">
            <v>Sandhya</v>
          </cell>
          <cell r="C228" t="str">
            <v xml:space="preserve">Thiophenate Methyl 70% WP </v>
          </cell>
          <cell r="D228" t="str">
            <v>San Tpm</v>
          </cell>
          <cell r="E228" t="str">
            <v>1000 GMS</v>
          </cell>
          <cell r="F228">
            <v>508.4246</v>
          </cell>
          <cell r="G228">
            <v>18</v>
          </cell>
          <cell r="H228">
            <v>111.60539999999999</v>
          </cell>
          <cell r="I228">
            <v>620.03</v>
          </cell>
        </row>
        <row r="229">
          <cell r="B229" t="str">
            <v>Sandhya</v>
          </cell>
          <cell r="C229" t="str">
            <v xml:space="preserve">Thiophenate Methyl 70% WP </v>
          </cell>
          <cell r="D229" t="str">
            <v>San Tpm</v>
          </cell>
          <cell r="E229" t="str">
            <v>500 GMS</v>
          </cell>
          <cell r="F229">
            <v>262.3098</v>
          </cell>
          <cell r="G229">
            <v>18</v>
          </cell>
          <cell r="H229">
            <v>57.580199999999998</v>
          </cell>
          <cell r="I229">
            <v>319.89</v>
          </cell>
        </row>
        <row r="230">
          <cell r="B230" t="str">
            <v>Sandhya</v>
          </cell>
          <cell r="C230" t="str">
            <v xml:space="preserve">Thiophenate Methyl 70% WP </v>
          </cell>
          <cell r="D230" t="str">
            <v>San Tpm</v>
          </cell>
          <cell r="E230" t="str">
            <v>250 GMS</v>
          </cell>
          <cell r="F230">
            <v>135.65260000000001</v>
          </cell>
          <cell r="G230">
            <v>18</v>
          </cell>
          <cell r="H230">
            <v>29.7774</v>
          </cell>
          <cell r="I230">
            <v>165.43</v>
          </cell>
        </row>
        <row r="231">
          <cell r="B231" t="str">
            <v>Sandhya</v>
          </cell>
          <cell r="C231" t="str">
            <v xml:space="preserve">Thiophenate Methyl 70% WP </v>
          </cell>
          <cell r="D231" t="str">
            <v>San Tpm</v>
          </cell>
          <cell r="E231" t="str">
            <v>100 GMS</v>
          </cell>
          <cell r="F231">
            <v>57.859200000000001</v>
          </cell>
          <cell r="G231">
            <v>18</v>
          </cell>
          <cell r="H231">
            <v>12.700799999999999</v>
          </cell>
          <cell r="I231">
            <v>70.56</v>
          </cell>
        </row>
        <row r="232">
          <cell r="B232" t="str">
            <v>Sandhya</v>
          </cell>
          <cell r="C232" t="str">
            <v>Tricyclozole 75% WP</v>
          </cell>
          <cell r="D232" t="str">
            <v>San Tri Wp</v>
          </cell>
          <cell r="E232" t="str">
            <v>250 GMS</v>
          </cell>
          <cell r="F232">
            <v>260.86660000000001</v>
          </cell>
          <cell r="G232">
            <v>18</v>
          </cell>
          <cell r="H232">
            <v>57.263399999999997</v>
          </cell>
          <cell r="I232">
            <v>318.13</v>
          </cell>
        </row>
        <row r="233">
          <cell r="B233" t="str">
            <v>Sandhya</v>
          </cell>
          <cell r="C233" t="str">
            <v>Tricyclozole 75% WP</v>
          </cell>
          <cell r="D233" t="str">
            <v>San Tri Wp</v>
          </cell>
          <cell r="E233" t="str">
            <v>120 GMS</v>
          </cell>
          <cell r="F233">
            <v>127.387</v>
          </cell>
          <cell r="G233">
            <v>18</v>
          </cell>
          <cell r="H233">
            <v>27.962999999999997</v>
          </cell>
          <cell r="I233">
            <v>155.35</v>
          </cell>
        </row>
        <row r="234">
          <cell r="B234" t="str">
            <v>Sandhya</v>
          </cell>
          <cell r="C234" t="str">
            <v xml:space="preserve">Validamycin 3% SL </v>
          </cell>
          <cell r="D234" t="str">
            <v>Sanval</v>
          </cell>
          <cell r="E234" t="str">
            <v>1000 ML</v>
          </cell>
          <cell r="F234">
            <v>266.36059999999998</v>
          </cell>
          <cell r="G234">
            <v>18</v>
          </cell>
          <cell r="H234">
            <v>58.469399999999993</v>
          </cell>
          <cell r="I234">
            <v>324.83</v>
          </cell>
        </row>
        <row r="235">
          <cell r="B235" t="str">
            <v>Sandhya</v>
          </cell>
          <cell r="C235" t="str">
            <v xml:space="preserve">Validamycin 3% SL </v>
          </cell>
          <cell r="D235" t="str">
            <v>Sanval</v>
          </cell>
          <cell r="E235" t="str">
            <v>500 ML</v>
          </cell>
          <cell r="F235">
            <v>141.27779999999998</v>
          </cell>
          <cell r="G235">
            <v>18</v>
          </cell>
          <cell r="H235">
            <v>31.012199999999996</v>
          </cell>
          <cell r="I235">
            <v>172.29</v>
          </cell>
        </row>
        <row r="236">
          <cell r="B236" t="str">
            <v>Sandhya</v>
          </cell>
          <cell r="C236" t="str">
            <v xml:space="preserve">Validamycin 3% SL </v>
          </cell>
          <cell r="D236" t="str">
            <v>Sanval</v>
          </cell>
          <cell r="E236" t="str">
            <v>250 ML</v>
          </cell>
          <cell r="F236">
            <v>75.136600000000001</v>
          </cell>
          <cell r="G236">
            <v>18</v>
          </cell>
          <cell r="H236">
            <v>16.493399999999998</v>
          </cell>
          <cell r="I236">
            <v>91.63</v>
          </cell>
        </row>
        <row r="237">
          <cell r="B237" t="str">
            <v>Sandhya</v>
          </cell>
          <cell r="C237" t="str">
            <v xml:space="preserve">Validamycin 3% SL </v>
          </cell>
          <cell r="D237" t="str">
            <v>Sanval</v>
          </cell>
          <cell r="E237" t="str">
            <v>100 ML</v>
          </cell>
          <cell r="F237">
            <v>33.652799999999999</v>
          </cell>
          <cell r="G237">
            <v>18</v>
          </cell>
          <cell r="H237">
            <v>7.3872</v>
          </cell>
          <cell r="I237">
            <v>41.04</v>
          </cell>
        </row>
        <row r="238">
          <cell r="B238" t="str">
            <v>Sandhya</v>
          </cell>
          <cell r="C238" t="str">
            <v xml:space="preserve">Metalaxyl 35% WS </v>
          </cell>
          <cell r="D238" t="str">
            <v>Sanxyl</v>
          </cell>
          <cell r="E238" t="str">
            <v>1000 GMS</v>
          </cell>
          <cell r="F238">
            <v>600.06780000000003</v>
          </cell>
          <cell r="G238">
            <v>18</v>
          </cell>
          <cell r="H238">
            <v>131.72219999999999</v>
          </cell>
          <cell r="I238">
            <v>731.79</v>
          </cell>
        </row>
        <row r="239">
          <cell r="B239" t="str">
            <v>Sandhya</v>
          </cell>
          <cell r="C239" t="str">
            <v xml:space="preserve">Metalaxyl 35% WS </v>
          </cell>
          <cell r="D239" t="str">
            <v>Sanxyl</v>
          </cell>
          <cell r="E239" t="str">
            <v>500 GMS</v>
          </cell>
          <cell r="F239">
            <v>308.10680000000002</v>
          </cell>
          <cell r="G239">
            <v>18</v>
          </cell>
          <cell r="H239">
            <v>67.633200000000002</v>
          </cell>
          <cell r="I239">
            <v>375.74</v>
          </cell>
        </row>
        <row r="240">
          <cell r="B240" t="str">
            <v>Sandhya</v>
          </cell>
          <cell r="C240" t="str">
            <v xml:space="preserve">Metalaxyl 35% WS </v>
          </cell>
          <cell r="D240" t="str">
            <v>Sanxyl</v>
          </cell>
          <cell r="E240" t="str">
            <v>250 GMS</v>
          </cell>
          <cell r="F240">
            <v>158.53880000000001</v>
          </cell>
          <cell r="G240">
            <v>18</v>
          </cell>
          <cell r="H240">
            <v>34.801200000000001</v>
          </cell>
          <cell r="I240">
            <v>193.34</v>
          </cell>
        </row>
        <row r="241">
          <cell r="B241" t="str">
            <v>Sandhya</v>
          </cell>
          <cell r="C241" t="str">
            <v xml:space="preserve">Metalaxyl 35% WS </v>
          </cell>
          <cell r="D241" t="str">
            <v>Sanxyl</v>
          </cell>
          <cell r="E241" t="str">
            <v>100 GMS</v>
          </cell>
          <cell r="F241">
            <v>67.002199999999988</v>
          </cell>
          <cell r="G241">
            <v>18</v>
          </cell>
          <cell r="H241">
            <v>14.707799999999999</v>
          </cell>
          <cell r="I241">
            <v>81.709999999999994</v>
          </cell>
        </row>
        <row r="242">
          <cell r="B242" t="str">
            <v>Sandhya</v>
          </cell>
          <cell r="C242" t="str">
            <v>2,4 D Amine Salt 58% SL</v>
          </cell>
          <cell r="D242" t="str">
            <v xml:space="preserve">Weedmine Xtra </v>
          </cell>
          <cell r="E242" t="str">
            <v>5000 ML</v>
          </cell>
          <cell r="F242">
            <v>1228.319</v>
          </cell>
          <cell r="G242">
            <v>18</v>
          </cell>
          <cell r="H242">
            <v>269.63099999999997</v>
          </cell>
          <cell r="I242">
            <v>1497.95</v>
          </cell>
        </row>
        <row r="243">
          <cell r="B243" t="str">
            <v>Sandhya</v>
          </cell>
          <cell r="C243" t="str">
            <v>2,4 D Amine Salt 58% SL</v>
          </cell>
          <cell r="D243" t="str">
            <v xml:space="preserve">Weedmine Xtra </v>
          </cell>
          <cell r="E243" t="str">
            <v>1000 ML</v>
          </cell>
          <cell r="F243">
            <v>252.86340000000001</v>
          </cell>
          <cell r="G243">
            <v>18</v>
          </cell>
          <cell r="H243">
            <v>55.506599999999999</v>
          </cell>
          <cell r="I243">
            <v>308.37</v>
          </cell>
        </row>
        <row r="244">
          <cell r="B244" t="str">
            <v>Sandhya</v>
          </cell>
          <cell r="C244" t="str">
            <v>2,4 D Amine Salt 58% SL</v>
          </cell>
          <cell r="D244" t="str">
            <v xml:space="preserve">Weedmine Xtra </v>
          </cell>
          <cell r="E244" t="str">
            <v>400 ML</v>
          </cell>
          <cell r="F244">
            <v>108.3466</v>
          </cell>
          <cell r="G244">
            <v>18</v>
          </cell>
          <cell r="H244">
            <v>23.783399999999997</v>
          </cell>
          <cell r="I244">
            <v>132.13</v>
          </cell>
        </row>
        <row r="245">
          <cell r="B245" t="str">
            <v>Sandhya</v>
          </cell>
          <cell r="C245" t="str">
            <v>2,4 D Amine Salt 58% SL</v>
          </cell>
          <cell r="D245" t="str">
            <v xml:space="preserve">Weedmine Xtra </v>
          </cell>
          <cell r="E245" t="str">
            <v>250 ML</v>
          </cell>
          <cell r="F245">
            <v>72.217399999999998</v>
          </cell>
          <cell r="G245">
            <v>18</v>
          </cell>
          <cell r="H245">
            <v>15.852599999999999</v>
          </cell>
          <cell r="I245">
            <v>88.07</v>
          </cell>
        </row>
        <row r="246">
          <cell r="B246" t="str">
            <v>Sandhya</v>
          </cell>
          <cell r="C246" t="str">
            <v>Atrazine 50% WP</v>
          </cell>
          <cell r="D246" t="str">
            <v>Sanzine</v>
          </cell>
          <cell r="E246" t="str">
            <v>1000 GMS</v>
          </cell>
          <cell r="F246">
            <v>290.74739999999997</v>
          </cell>
          <cell r="G246">
            <v>18</v>
          </cell>
          <cell r="H246">
            <v>63.822599999999994</v>
          </cell>
          <cell r="I246">
            <v>354.57</v>
          </cell>
        </row>
        <row r="247">
          <cell r="B247" t="str">
            <v>Sandhya</v>
          </cell>
          <cell r="C247" t="str">
            <v>Atrazine 50% WP</v>
          </cell>
          <cell r="D247" t="str">
            <v>Sanzine</v>
          </cell>
          <cell r="E247" t="str">
            <v>500 GMS</v>
          </cell>
          <cell r="F247">
            <v>150.82260000000002</v>
          </cell>
          <cell r="G247">
            <v>18</v>
          </cell>
          <cell r="H247">
            <v>33.107399999999998</v>
          </cell>
          <cell r="I247">
            <v>183.93</v>
          </cell>
        </row>
        <row r="248">
          <cell r="B248" t="str">
            <v>Sandhya</v>
          </cell>
          <cell r="C248" t="str">
            <v>Bispyribac Sodium 10% SC</v>
          </cell>
          <cell r="D248" t="str">
            <v>San Biss</v>
          </cell>
          <cell r="E248" t="str">
            <v>1000 ML</v>
          </cell>
          <cell r="F248">
            <v>857.57240000000002</v>
          </cell>
          <cell r="G248">
            <v>18</v>
          </cell>
          <cell r="H248">
            <v>188.24759999999998</v>
          </cell>
          <cell r="I248">
            <v>1045.82</v>
          </cell>
        </row>
        <row r="249">
          <cell r="B249" t="str">
            <v>Sandhya</v>
          </cell>
          <cell r="C249" t="str">
            <v>Bispyribac Sodium 10% SC</v>
          </cell>
          <cell r="D249" t="str">
            <v>San Biss</v>
          </cell>
          <cell r="E249" t="str">
            <v>500 ML</v>
          </cell>
          <cell r="F249">
            <v>437.78980000000001</v>
          </cell>
          <cell r="G249">
            <v>18</v>
          </cell>
          <cell r="H249">
            <v>96.100200000000001</v>
          </cell>
          <cell r="I249">
            <v>533.89</v>
          </cell>
        </row>
        <row r="250">
          <cell r="B250" t="str">
            <v>Sandhya</v>
          </cell>
          <cell r="C250" t="str">
            <v>Bispyribac Sodium 10% SC</v>
          </cell>
          <cell r="D250" t="str">
            <v>San Biss</v>
          </cell>
          <cell r="E250" t="str">
            <v>200 ML</v>
          </cell>
          <cell r="F250">
            <v>178.71080000000001</v>
          </cell>
          <cell r="G250">
            <v>18</v>
          </cell>
          <cell r="H250">
            <v>39.229199999999999</v>
          </cell>
          <cell r="I250">
            <v>217.94</v>
          </cell>
        </row>
        <row r="251">
          <cell r="B251" t="str">
            <v>Sandhya</v>
          </cell>
          <cell r="C251" t="str">
            <v>Bispyribac Sodium 10% SC</v>
          </cell>
          <cell r="D251" t="str">
            <v>San Biss</v>
          </cell>
          <cell r="E251" t="str">
            <v>100 ML</v>
          </cell>
          <cell r="F251">
            <v>92.955200000000005</v>
          </cell>
          <cell r="G251">
            <v>18</v>
          </cell>
          <cell r="H251">
            <v>20.404799999999998</v>
          </cell>
          <cell r="I251">
            <v>113.36</v>
          </cell>
        </row>
        <row r="252">
          <cell r="B252" t="str">
            <v>Sandhya</v>
          </cell>
          <cell r="C252" t="str">
            <v>Bispyribac Sodium 10% SC</v>
          </cell>
          <cell r="D252" t="str">
            <v>San Biss</v>
          </cell>
          <cell r="E252" t="str">
            <v>50 ML</v>
          </cell>
          <cell r="F252">
            <v>47.830599999999997</v>
          </cell>
          <cell r="G252">
            <v>18</v>
          </cell>
          <cell r="H252">
            <v>10.4994</v>
          </cell>
          <cell r="I252">
            <v>58.33</v>
          </cell>
        </row>
        <row r="253">
          <cell r="B253" t="str">
            <v>Sandhya</v>
          </cell>
          <cell r="C253" t="str">
            <v>Bispyribac Sodium 10% SC</v>
          </cell>
          <cell r="D253" t="str">
            <v>San Biss</v>
          </cell>
          <cell r="E253" t="str">
            <v>10 ML</v>
          </cell>
          <cell r="F253">
            <v>9.8318000000000012</v>
          </cell>
          <cell r="G253">
            <v>18</v>
          </cell>
          <cell r="H253">
            <v>2.1581999999999999</v>
          </cell>
          <cell r="I253">
            <v>11.99</v>
          </cell>
        </row>
        <row r="254">
          <cell r="B254" t="str">
            <v>Sandhya</v>
          </cell>
          <cell r="C254" t="str">
            <v>Glyphosate 41% SL</v>
          </cell>
          <cell r="D254" t="str">
            <v>Sanglypho</v>
          </cell>
          <cell r="E254" t="str">
            <v>20000 ML</v>
          </cell>
          <cell r="F254">
            <v>4751.3014000000003</v>
          </cell>
          <cell r="G254">
            <v>18</v>
          </cell>
          <cell r="H254">
            <v>1042.9686000000002</v>
          </cell>
          <cell r="I254">
            <v>5794.27</v>
          </cell>
        </row>
        <row r="255">
          <cell r="B255" t="str">
            <v>Sandhya</v>
          </cell>
          <cell r="C255" t="str">
            <v>Glyphosate 41% SL</v>
          </cell>
          <cell r="D255" t="str">
            <v>Sanglypho</v>
          </cell>
          <cell r="E255" t="str">
            <v>5000 ML</v>
          </cell>
          <cell r="F255">
            <v>1223.8172</v>
          </cell>
          <cell r="G255">
            <v>18</v>
          </cell>
          <cell r="H255">
            <v>268.64280000000002</v>
          </cell>
          <cell r="I255">
            <v>1492.46</v>
          </cell>
        </row>
        <row r="256">
          <cell r="B256" t="str">
            <v>Sandhya</v>
          </cell>
          <cell r="C256" t="str">
            <v>Glyphosate 41% SL</v>
          </cell>
          <cell r="D256" t="str">
            <v>Sanglypho</v>
          </cell>
          <cell r="E256" t="str">
            <v>1000 ML</v>
          </cell>
          <cell r="F256">
            <v>251.9614</v>
          </cell>
          <cell r="G256">
            <v>18</v>
          </cell>
          <cell r="H256">
            <v>55.308599999999991</v>
          </cell>
          <cell r="I256">
            <v>307.27</v>
          </cell>
        </row>
        <row r="257">
          <cell r="B257" t="str">
            <v>Sandhya</v>
          </cell>
          <cell r="C257" t="str">
            <v>Glyphosate 41% SL</v>
          </cell>
          <cell r="D257" t="str">
            <v>Sanglypho</v>
          </cell>
          <cell r="E257" t="str">
            <v>500 ML</v>
          </cell>
          <cell r="F257">
            <v>134.07819999999998</v>
          </cell>
          <cell r="G257">
            <v>18</v>
          </cell>
          <cell r="H257">
            <v>29.431799999999996</v>
          </cell>
          <cell r="I257">
            <v>163.51</v>
          </cell>
        </row>
        <row r="258">
          <cell r="B258" t="str">
            <v>Sandhya</v>
          </cell>
          <cell r="C258" t="str">
            <v>Glyphosate 41% SL</v>
          </cell>
          <cell r="D258" t="str">
            <v>Sanglypho</v>
          </cell>
          <cell r="E258" t="str">
            <v>250 ML</v>
          </cell>
          <cell r="F258">
            <v>71.536799999999999</v>
          </cell>
          <cell r="G258">
            <v>18</v>
          </cell>
          <cell r="H258">
            <v>15.703199999999999</v>
          </cell>
          <cell r="I258">
            <v>87.24</v>
          </cell>
        </row>
        <row r="259">
          <cell r="B259" t="str">
            <v>Sandhya</v>
          </cell>
          <cell r="C259" t="str">
            <v>Glyphosate Amonium salt 71% SG</v>
          </cell>
          <cell r="D259" t="str">
            <v>San Glypho Sg</v>
          </cell>
          <cell r="E259" t="str">
            <v>1000 GMS</v>
          </cell>
          <cell r="F259">
            <v>373.44440000000003</v>
          </cell>
          <cell r="G259">
            <v>18</v>
          </cell>
          <cell r="H259">
            <v>81.9756</v>
          </cell>
          <cell r="I259">
            <v>455.42</v>
          </cell>
        </row>
        <row r="260">
          <cell r="B260" t="str">
            <v>Sandhya</v>
          </cell>
          <cell r="C260" t="str">
            <v>Glyphosate Amonium salt 71% SG</v>
          </cell>
          <cell r="D260" t="str">
            <v>San Glypho Sg</v>
          </cell>
          <cell r="E260" t="str">
            <v>500 GMS</v>
          </cell>
          <cell r="F260">
            <v>194.37279999999998</v>
          </cell>
          <cell r="G260">
            <v>18</v>
          </cell>
          <cell r="H260">
            <v>42.667199999999994</v>
          </cell>
          <cell r="I260">
            <v>237.04</v>
          </cell>
        </row>
        <row r="261">
          <cell r="B261" t="str">
            <v>Sandhya</v>
          </cell>
          <cell r="C261" t="str">
            <v>Glyphosate Amonium salt 71% SG</v>
          </cell>
          <cell r="D261" t="str">
            <v>San Glypho Sg</v>
          </cell>
          <cell r="E261" t="str">
            <v>250 GMS</v>
          </cell>
          <cell r="F261">
            <v>101.68820000000001</v>
          </cell>
          <cell r="G261">
            <v>18</v>
          </cell>
          <cell r="H261">
            <v>22.3218</v>
          </cell>
          <cell r="I261">
            <v>124.01</v>
          </cell>
        </row>
        <row r="262">
          <cell r="B262" t="str">
            <v>Sandhya</v>
          </cell>
          <cell r="C262" t="str">
            <v>Glyphosate Amonium salt 71% SG</v>
          </cell>
          <cell r="D262" t="str">
            <v>San Glypho Sg</v>
          </cell>
          <cell r="E262" t="str">
            <v>100 GMS</v>
          </cell>
          <cell r="F262">
            <v>42.475999999999999</v>
          </cell>
          <cell r="G262">
            <v>18</v>
          </cell>
          <cell r="H262">
            <v>9.3239999999999998</v>
          </cell>
          <cell r="I262">
            <v>51.8</v>
          </cell>
        </row>
        <row r="263">
          <cell r="B263" t="str">
            <v>Sandhya</v>
          </cell>
          <cell r="C263" t="str">
            <v>Metribuzin 70% WP</v>
          </cell>
          <cell r="D263" t="str">
            <v>San Met</v>
          </cell>
          <cell r="E263" t="str">
            <v>500 GMS</v>
          </cell>
          <cell r="F263">
            <v>384.69479999999999</v>
          </cell>
          <cell r="G263">
            <v>18</v>
          </cell>
          <cell r="H263">
            <v>84.4452</v>
          </cell>
          <cell r="I263">
            <v>469.14</v>
          </cell>
        </row>
        <row r="264">
          <cell r="B264" t="str">
            <v>Sandhya</v>
          </cell>
          <cell r="C264" t="str">
            <v>Metribuzin 70% WP</v>
          </cell>
          <cell r="D264" t="str">
            <v>San Met</v>
          </cell>
          <cell r="E264" t="str">
            <v>250 GMS</v>
          </cell>
          <cell r="F264">
            <v>196.1686</v>
          </cell>
          <cell r="G264">
            <v>18</v>
          </cell>
          <cell r="H264">
            <v>43.061399999999999</v>
          </cell>
          <cell r="I264">
            <v>239.23</v>
          </cell>
        </row>
        <row r="265">
          <cell r="B265" t="str">
            <v>Sandhya</v>
          </cell>
          <cell r="C265" t="str">
            <v>Metribuzin 70% WP</v>
          </cell>
          <cell r="D265" t="str">
            <v>San Met</v>
          </cell>
          <cell r="E265" t="str">
            <v>100 GMS</v>
          </cell>
          <cell r="F265">
            <v>81.17179999999999</v>
          </cell>
          <cell r="G265">
            <v>18</v>
          </cell>
          <cell r="H265">
            <v>17.818199999999997</v>
          </cell>
          <cell r="I265">
            <v>98.99</v>
          </cell>
        </row>
        <row r="266">
          <cell r="B266" t="str">
            <v>Sandhya</v>
          </cell>
          <cell r="C266" t="str">
            <v>Clodinafop propargyl 15% WP</v>
          </cell>
          <cell r="D266" t="str">
            <v xml:space="preserve">San Clodi </v>
          </cell>
          <cell r="E266" t="str">
            <v>160 GMS</v>
          </cell>
          <cell r="F266">
            <v>112.217</v>
          </cell>
          <cell r="G266">
            <v>18</v>
          </cell>
          <cell r="H266">
            <v>24.632999999999999</v>
          </cell>
          <cell r="I266">
            <v>136.85</v>
          </cell>
        </row>
        <row r="267">
          <cell r="B267" t="str">
            <v>Sandhya</v>
          </cell>
          <cell r="C267" t="str">
            <v>Imazethapyr 10% SL</v>
          </cell>
          <cell r="D267" t="str">
            <v>San Ima</v>
          </cell>
          <cell r="E267" t="str">
            <v>1000 ML</v>
          </cell>
          <cell r="F267">
            <v>458.92939999999999</v>
          </cell>
          <cell r="G267">
            <v>18</v>
          </cell>
          <cell r="H267">
            <v>100.74059999999999</v>
          </cell>
          <cell r="I267">
            <v>559.66999999999996</v>
          </cell>
        </row>
        <row r="268">
          <cell r="B268" t="str">
            <v>Sandhya</v>
          </cell>
          <cell r="C268" t="str">
            <v>Imazethapyr 10% SL</v>
          </cell>
          <cell r="D268" t="str">
            <v>San Ima</v>
          </cell>
          <cell r="E268" t="str">
            <v>500 ML</v>
          </cell>
          <cell r="F268">
            <v>238.46420000000001</v>
          </cell>
          <cell r="G268">
            <v>18</v>
          </cell>
          <cell r="H268">
            <v>52.345799999999997</v>
          </cell>
          <cell r="I268">
            <v>290.81</v>
          </cell>
        </row>
        <row r="269">
          <cell r="B269" t="str">
            <v>Sandhya</v>
          </cell>
          <cell r="C269" t="str">
            <v>Imazethapyr 10% SL</v>
          </cell>
          <cell r="D269" t="str">
            <v>San Ima</v>
          </cell>
          <cell r="E269" t="str">
            <v>250 ML</v>
          </cell>
          <cell r="F269">
            <v>123.72979999999998</v>
          </cell>
          <cell r="G269">
            <v>18</v>
          </cell>
          <cell r="H269">
            <v>27.160199999999996</v>
          </cell>
          <cell r="I269">
            <v>150.88999999999999</v>
          </cell>
        </row>
        <row r="270">
          <cell r="B270" t="str">
            <v>Sandhya</v>
          </cell>
          <cell r="C270" t="str">
            <v>Paraquat Dichloride 24% SL</v>
          </cell>
          <cell r="D270" t="str">
            <v>San Quat</v>
          </cell>
          <cell r="E270" t="str">
            <v>20000 ML</v>
          </cell>
          <cell r="F270">
            <v>3507.96</v>
          </cell>
          <cell r="G270">
            <v>18</v>
          </cell>
          <cell r="H270">
            <v>770.04</v>
          </cell>
          <cell r="I270">
            <v>4278</v>
          </cell>
        </row>
        <row r="271">
          <cell r="B271" t="str">
            <v>Sandhya</v>
          </cell>
          <cell r="C271" t="str">
            <v>Paraquat Dichloride 24% SL</v>
          </cell>
          <cell r="D271" t="str">
            <v>San Quat</v>
          </cell>
          <cell r="E271" t="str">
            <v>5000 ML</v>
          </cell>
          <cell r="F271">
            <v>902.81999999999994</v>
          </cell>
          <cell r="G271">
            <v>18</v>
          </cell>
          <cell r="H271">
            <v>198.18</v>
          </cell>
          <cell r="I271">
            <v>1101</v>
          </cell>
        </row>
        <row r="272">
          <cell r="B272" t="str">
            <v>Sandhya</v>
          </cell>
          <cell r="C272" t="str">
            <v>Paraquat Dichloride 24% SL</v>
          </cell>
          <cell r="D272" t="str">
            <v>San Quat</v>
          </cell>
          <cell r="E272" t="str">
            <v>1000 ML</v>
          </cell>
          <cell r="F272">
            <v>186.96</v>
          </cell>
          <cell r="G272">
            <v>18</v>
          </cell>
          <cell r="H272">
            <v>41.04</v>
          </cell>
          <cell r="I272">
            <v>228</v>
          </cell>
        </row>
        <row r="273">
          <cell r="B273" t="str">
            <v>Sandhya</v>
          </cell>
          <cell r="C273" t="str">
            <v>Paraquat Dichloride 24% SL</v>
          </cell>
          <cell r="D273" t="str">
            <v>San Quat</v>
          </cell>
          <cell r="E273" t="str">
            <v>500 ML</v>
          </cell>
          <cell r="F273">
            <v>101.68</v>
          </cell>
          <cell r="G273">
            <v>18</v>
          </cell>
          <cell r="H273">
            <v>22.32</v>
          </cell>
          <cell r="I273">
            <v>124</v>
          </cell>
        </row>
        <row r="274">
          <cell r="B274" t="str">
            <v>Sandhya</v>
          </cell>
          <cell r="C274" t="str">
            <v>Paraquat Dichloride 24% SL</v>
          </cell>
          <cell r="D274" t="str">
            <v>San Quat</v>
          </cell>
          <cell r="E274" t="str">
            <v>250 ML</v>
          </cell>
          <cell r="F274">
            <v>54.94</v>
          </cell>
          <cell r="G274">
            <v>18</v>
          </cell>
          <cell r="H274">
            <v>12.059999999999999</v>
          </cell>
          <cell r="I274">
            <v>67</v>
          </cell>
        </row>
        <row r="275">
          <cell r="B275" t="str">
            <v>Sandhya</v>
          </cell>
          <cell r="C275" t="str">
            <v>Pendimethalin 30% EC</v>
          </cell>
          <cell r="D275" t="str">
            <v>San Pend</v>
          </cell>
          <cell r="E275" t="str">
            <v>5000 ML</v>
          </cell>
          <cell r="F275">
            <v>1313.8040000000001</v>
          </cell>
          <cell r="G275">
            <v>18</v>
          </cell>
          <cell r="H275">
            <v>288.39600000000002</v>
          </cell>
          <cell r="I275">
            <v>1602.2</v>
          </cell>
        </row>
        <row r="276">
          <cell r="B276" t="str">
            <v>Sandhya</v>
          </cell>
          <cell r="C276" t="str">
            <v>Pendimethalin 30% EC</v>
          </cell>
          <cell r="D276" t="str">
            <v>San Pend</v>
          </cell>
          <cell r="E276" t="str">
            <v>1000 ML</v>
          </cell>
          <cell r="F276">
            <v>269.96040000000005</v>
          </cell>
          <cell r="G276">
            <v>18</v>
          </cell>
          <cell r="H276">
            <v>59.259600000000006</v>
          </cell>
          <cell r="I276">
            <v>329.22</v>
          </cell>
        </row>
        <row r="277">
          <cell r="B277" t="str">
            <v>Sandhya</v>
          </cell>
          <cell r="C277" t="str">
            <v>Pendimethalin 30% EC</v>
          </cell>
          <cell r="D277" t="str">
            <v>San Pend</v>
          </cell>
          <cell r="E277" t="str">
            <v>500 ML</v>
          </cell>
          <cell r="F277">
            <v>146.1568</v>
          </cell>
          <cell r="G277">
            <v>18</v>
          </cell>
          <cell r="H277">
            <v>32.083199999999998</v>
          </cell>
          <cell r="I277">
            <v>178.24</v>
          </cell>
        </row>
        <row r="278">
          <cell r="B278" t="str">
            <v>Sandhya</v>
          </cell>
          <cell r="C278" t="str">
            <v>Pendimethalin 30% EC</v>
          </cell>
          <cell r="D278" t="str">
            <v>San Pend</v>
          </cell>
          <cell r="E278" t="str">
            <v>250 ML</v>
          </cell>
          <cell r="F278">
            <v>76.038600000000002</v>
          </cell>
          <cell r="G278">
            <v>18</v>
          </cell>
          <cell r="H278">
            <v>16.691400000000002</v>
          </cell>
          <cell r="I278">
            <v>92.73</v>
          </cell>
        </row>
        <row r="279">
          <cell r="B279" t="str">
            <v>Sandhya</v>
          </cell>
          <cell r="C279" t="str">
            <v>Pendimethalin 30% EC</v>
          </cell>
          <cell r="D279" t="str">
            <v>San Pend</v>
          </cell>
          <cell r="E279" t="str">
            <v>100 ML</v>
          </cell>
          <cell r="F279">
            <v>33.111600000000003</v>
          </cell>
          <cell r="G279">
            <v>18</v>
          </cell>
          <cell r="H279">
            <v>7.2683999999999997</v>
          </cell>
          <cell r="I279">
            <v>40.380000000000003</v>
          </cell>
        </row>
        <row r="280">
          <cell r="B280" t="str">
            <v>Sandhya</v>
          </cell>
          <cell r="C280" t="str">
            <v>Oxyfluorfen 23.5% EC</v>
          </cell>
          <cell r="D280" t="str">
            <v xml:space="preserve">Oxyco </v>
          </cell>
          <cell r="E280" t="str">
            <v>1000 ML</v>
          </cell>
          <cell r="F280">
            <v>944.8614</v>
          </cell>
          <cell r="G280">
            <v>18</v>
          </cell>
          <cell r="H280">
            <v>207.40859999999998</v>
          </cell>
          <cell r="I280">
            <v>1152.27</v>
          </cell>
        </row>
        <row r="281">
          <cell r="B281" t="str">
            <v>Sandhya</v>
          </cell>
          <cell r="C281" t="str">
            <v>Oxyfluorfen 23.5% EC</v>
          </cell>
          <cell r="D281" t="str">
            <v xml:space="preserve">Oxyco </v>
          </cell>
          <cell r="E281" t="str">
            <v>500 ML</v>
          </cell>
          <cell r="F281">
            <v>480.52819999999997</v>
          </cell>
          <cell r="G281">
            <v>18</v>
          </cell>
          <cell r="H281">
            <v>105.48179999999999</v>
          </cell>
          <cell r="I281">
            <v>586.01</v>
          </cell>
        </row>
        <row r="282">
          <cell r="B282" t="str">
            <v>Sandhya</v>
          </cell>
          <cell r="C282" t="str">
            <v>Oxyfluorfen 23.5% EC</v>
          </cell>
          <cell r="D282" t="str">
            <v xml:space="preserve">Oxyco </v>
          </cell>
          <cell r="E282" t="str">
            <v>250 ML</v>
          </cell>
          <cell r="F282">
            <v>244.76179999999999</v>
          </cell>
          <cell r="G282">
            <v>18</v>
          </cell>
          <cell r="H282">
            <v>53.728200000000001</v>
          </cell>
          <cell r="I282">
            <v>298.49</v>
          </cell>
        </row>
        <row r="283">
          <cell r="B283" t="str">
            <v>Sandhya</v>
          </cell>
          <cell r="C283" t="str">
            <v>Oxyfluorfen 23.5% EC</v>
          </cell>
          <cell r="D283" t="str">
            <v xml:space="preserve">Oxyco </v>
          </cell>
          <cell r="E283" t="str">
            <v>100 ML</v>
          </cell>
          <cell r="F283">
            <v>100.6058</v>
          </cell>
          <cell r="G283">
            <v>18</v>
          </cell>
          <cell r="H283">
            <v>22.084199999999999</v>
          </cell>
          <cell r="I283">
            <v>122.69</v>
          </cell>
        </row>
        <row r="284">
          <cell r="B284" t="str">
            <v>Sandhya</v>
          </cell>
          <cell r="C284" t="str">
            <v>Pretilachlor 50% EC</v>
          </cell>
          <cell r="D284" t="str">
            <v>Rofit 50% Ec</v>
          </cell>
          <cell r="E284" t="str">
            <v>5000 ML</v>
          </cell>
          <cell r="F284">
            <v>1358.7973999999999</v>
          </cell>
          <cell r="G284">
            <v>18</v>
          </cell>
          <cell r="H284">
            <v>298.27259999999995</v>
          </cell>
          <cell r="I284">
            <v>1657.07</v>
          </cell>
        </row>
        <row r="285">
          <cell r="B285" t="str">
            <v>Sandhya</v>
          </cell>
          <cell r="C285" t="str">
            <v>Pretilachlor 50% EC</v>
          </cell>
          <cell r="D285" t="str">
            <v>Rofit 50% Ec</v>
          </cell>
          <cell r="E285" t="str">
            <v>1000 ML</v>
          </cell>
          <cell r="F285">
            <v>278.95580000000001</v>
          </cell>
          <cell r="G285">
            <v>18</v>
          </cell>
          <cell r="H285">
            <v>61.234199999999994</v>
          </cell>
          <cell r="I285">
            <v>340.19</v>
          </cell>
        </row>
        <row r="286">
          <cell r="B286" t="str">
            <v>Sandhya</v>
          </cell>
          <cell r="C286" t="str">
            <v>Pretilachlor 50% EC</v>
          </cell>
          <cell r="D286" t="str">
            <v>Rofit 50% Ec</v>
          </cell>
          <cell r="E286" t="str">
            <v>500 ML</v>
          </cell>
          <cell r="F286">
            <v>147.5754</v>
          </cell>
          <cell r="G286">
            <v>18</v>
          </cell>
          <cell r="H286">
            <v>32.394599999999997</v>
          </cell>
          <cell r="I286">
            <v>179.97</v>
          </cell>
        </row>
        <row r="287">
          <cell r="B287" t="str">
            <v>Sandhya</v>
          </cell>
          <cell r="C287" t="str">
            <v>Pretilachlor 50% EC</v>
          </cell>
          <cell r="D287" t="str">
            <v>Rofit 50% Ec</v>
          </cell>
          <cell r="E287" t="str">
            <v>250 ML</v>
          </cell>
          <cell r="F287">
            <v>78.285399999999996</v>
          </cell>
          <cell r="G287">
            <v>18</v>
          </cell>
          <cell r="H287">
            <v>17.1846</v>
          </cell>
          <cell r="I287">
            <v>95.47</v>
          </cell>
        </row>
        <row r="288">
          <cell r="B288" t="str">
            <v>Sandhya</v>
          </cell>
          <cell r="C288" t="str">
            <v>Pretilachlor 50% EC</v>
          </cell>
          <cell r="D288" t="str">
            <v>Rofit 50% Ec</v>
          </cell>
          <cell r="E288" t="str">
            <v>100 ML</v>
          </cell>
          <cell r="F288">
            <v>34.915599999999998</v>
          </cell>
          <cell r="G288">
            <v>18</v>
          </cell>
          <cell r="H288">
            <v>7.6643999999999997</v>
          </cell>
          <cell r="I288">
            <v>42.58</v>
          </cell>
        </row>
        <row r="289">
          <cell r="B289" t="str">
            <v>Sandhya</v>
          </cell>
          <cell r="C289" t="str">
            <v>Glufisonate Ammonium 13.5% SL</v>
          </cell>
          <cell r="D289" t="str">
            <v>Serios</v>
          </cell>
          <cell r="E289" t="str">
            <v>5000 ML</v>
          </cell>
          <cell r="F289">
            <v>0</v>
          </cell>
          <cell r="G289">
            <v>18</v>
          </cell>
          <cell r="H289">
            <v>0</v>
          </cell>
          <cell r="I289">
            <v>0</v>
          </cell>
        </row>
        <row r="290">
          <cell r="B290" t="str">
            <v>Sandhya</v>
          </cell>
          <cell r="C290" t="str">
            <v>Glufisonate Ammonium 13.5% SL</v>
          </cell>
          <cell r="D290" t="str">
            <v>Serios</v>
          </cell>
          <cell r="E290" t="str">
            <v>1000 ML</v>
          </cell>
          <cell r="F290">
            <v>0</v>
          </cell>
          <cell r="G290">
            <v>18</v>
          </cell>
          <cell r="H290">
            <v>0</v>
          </cell>
          <cell r="I290">
            <v>0</v>
          </cell>
        </row>
        <row r="291">
          <cell r="B291" t="str">
            <v>Sandhya</v>
          </cell>
          <cell r="C291" t="str">
            <v>Glufisonate Ammonium 13.5% SL</v>
          </cell>
          <cell r="D291" t="str">
            <v>Serios</v>
          </cell>
          <cell r="E291" t="str">
            <v>500 ML</v>
          </cell>
          <cell r="F291">
            <v>0</v>
          </cell>
          <cell r="G291">
            <v>18</v>
          </cell>
          <cell r="H291">
            <v>0</v>
          </cell>
          <cell r="I291">
            <v>0</v>
          </cell>
        </row>
        <row r="292">
          <cell r="B292" t="str">
            <v>Sandhya</v>
          </cell>
          <cell r="C292" t="str">
            <v>Glufisonate Ammonium 13.5% SL</v>
          </cell>
          <cell r="D292" t="str">
            <v>Serios</v>
          </cell>
          <cell r="E292" t="str">
            <v>250 ML</v>
          </cell>
          <cell r="F292">
            <v>0</v>
          </cell>
          <cell r="G292">
            <v>18</v>
          </cell>
          <cell r="H292">
            <v>0</v>
          </cell>
          <cell r="I292">
            <v>0</v>
          </cell>
        </row>
        <row r="293">
          <cell r="B293" t="str">
            <v>Sandhya</v>
          </cell>
          <cell r="C293" t="str">
            <v>Glufisonate Ammonium 13.5% SL</v>
          </cell>
          <cell r="D293" t="str">
            <v>Serios</v>
          </cell>
          <cell r="E293" t="str">
            <v>100 ML</v>
          </cell>
          <cell r="F293">
            <v>0</v>
          </cell>
          <cell r="G293">
            <v>18</v>
          </cell>
          <cell r="H293">
            <v>0</v>
          </cell>
          <cell r="I293">
            <v>0</v>
          </cell>
        </row>
        <row r="294">
          <cell r="B294" t="str">
            <v>Sandhya</v>
          </cell>
          <cell r="C294" t="str">
            <v>Tembotrione 34.4% SC</v>
          </cell>
          <cell r="D294" t="str">
            <v>Tiscon</v>
          </cell>
          <cell r="E294" t="str">
            <v>230 ML</v>
          </cell>
          <cell r="F294">
            <v>1060.67</v>
          </cell>
          <cell r="G294">
            <v>18</v>
          </cell>
          <cell r="H294">
            <v>232.82999999999998</v>
          </cell>
          <cell r="I294">
            <v>1293.5</v>
          </cell>
        </row>
        <row r="295">
          <cell r="B295" t="str">
            <v>Sandhya</v>
          </cell>
          <cell r="C295" t="str">
            <v>Tembotrione 34.4% SC</v>
          </cell>
          <cell r="D295" t="str">
            <v>Tiscon</v>
          </cell>
          <cell r="E295" t="str">
            <v>115 ML</v>
          </cell>
          <cell r="F295">
            <v>535.54200000000003</v>
          </cell>
          <cell r="G295">
            <v>18</v>
          </cell>
          <cell r="H295">
            <v>117.55799999999999</v>
          </cell>
          <cell r="I295">
            <v>653.1</v>
          </cell>
        </row>
        <row r="296">
          <cell r="B296" t="str">
            <v>Sandhya</v>
          </cell>
          <cell r="C296" t="str">
            <v>Tembotrione 34.4% SC</v>
          </cell>
          <cell r="D296" t="str">
            <v>Tiscon</v>
          </cell>
          <cell r="E296" t="str">
            <v>57.5 ML</v>
          </cell>
          <cell r="F296">
            <v>272.97799999999995</v>
          </cell>
          <cell r="G296">
            <v>18</v>
          </cell>
          <cell r="H296">
            <v>59.921999999999997</v>
          </cell>
          <cell r="I296">
            <v>332.9</v>
          </cell>
        </row>
        <row r="297">
          <cell r="B297" t="str">
            <v>Sandhya</v>
          </cell>
          <cell r="C297" t="str">
            <v>Quizalofop Ethyl 5% EC</v>
          </cell>
          <cell r="D297" t="str">
            <v>Quash</v>
          </cell>
          <cell r="E297" t="str">
            <v>5000 ML</v>
          </cell>
          <cell r="F297">
            <v>2869.7950000000001</v>
          </cell>
          <cell r="G297">
            <v>18</v>
          </cell>
          <cell r="H297">
            <v>629.95499999999993</v>
          </cell>
          <cell r="I297">
            <v>3499.75</v>
          </cell>
        </row>
        <row r="298">
          <cell r="B298" t="str">
            <v>Sandhya</v>
          </cell>
          <cell r="C298" t="str">
            <v>Quizalofop Ethyl 5% EC</v>
          </cell>
          <cell r="D298" t="str">
            <v>Quash</v>
          </cell>
          <cell r="E298" t="str">
            <v>1000 ML</v>
          </cell>
          <cell r="F298">
            <v>580.97820000000002</v>
          </cell>
          <cell r="G298">
            <v>18</v>
          </cell>
          <cell r="H298">
            <v>127.53179999999999</v>
          </cell>
          <cell r="I298">
            <v>708.51</v>
          </cell>
        </row>
        <row r="299">
          <cell r="B299" t="str">
            <v>Sandhya</v>
          </cell>
          <cell r="C299" t="str">
            <v>Quizalofop Ethyl 5% EC</v>
          </cell>
          <cell r="D299" t="str">
            <v>Quash</v>
          </cell>
          <cell r="E299" t="str">
            <v>500 ML</v>
          </cell>
          <cell r="F299">
            <v>299.2672</v>
          </cell>
          <cell r="G299">
            <v>18</v>
          </cell>
          <cell r="H299">
            <v>65.692799999999991</v>
          </cell>
          <cell r="I299">
            <v>364.96</v>
          </cell>
        </row>
        <row r="300">
          <cell r="B300" t="str">
            <v>Sandhya</v>
          </cell>
          <cell r="C300" t="str">
            <v>Quizalofop Ethyl 5% EC</v>
          </cell>
          <cell r="D300" t="str">
            <v>Quash</v>
          </cell>
          <cell r="E300" t="str">
            <v>250 ML</v>
          </cell>
          <cell r="F300">
            <v>154.0206</v>
          </cell>
          <cell r="G300">
            <v>18</v>
          </cell>
          <cell r="H300">
            <v>33.809400000000004</v>
          </cell>
          <cell r="I300">
            <v>187.83</v>
          </cell>
        </row>
        <row r="301">
          <cell r="B301" t="str">
            <v>Sandhya</v>
          </cell>
          <cell r="C301" t="str">
            <v>Quizalofop Ethyl 5% EC</v>
          </cell>
          <cell r="D301" t="str">
            <v>Quash</v>
          </cell>
          <cell r="E301" t="str">
            <v>100 ML</v>
          </cell>
          <cell r="F301">
            <v>64.238799999999998</v>
          </cell>
          <cell r="G301">
            <v>18</v>
          </cell>
          <cell r="H301">
            <v>14.1012</v>
          </cell>
          <cell r="I301">
            <v>78.34</v>
          </cell>
        </row>
        <row r="302">
          <cell r="B302" t="str">
            <v>Sandhya</v>
          </cell>
          <cell r="C302" t="str">
            <v>Gibberellic Acid 0.001% L</v>
          </cell>
          <cell r="D302" t="str">
            <v>San Gib</v>
          </cell>
          <cell r="E302" t="str">
            <v>5000 ML</v>
          </cell>
          <cell r="F302">
            <v>1931.6792</v>
          </cell>
          <cell r="G302">
            <v>12</v>
          </cell>
          <cell r="H302">
            <v>263.41079999999999</v>
          </cell>
          <cell r="I302">
            <v>2195.09</v>
          </cell>
        </row>
        <row r="303">
          <cell r="B303" t="str">
            <v>Sandhya</v>
          </cell>
          <cell r="C303" t="str">
            <v>Gibberellic Acid 0.001% L</v>
          </cell>
          <cell r="D303" t="str">
            <v>San Gib</v>
          </cell>
          <cell r="E303" t="str">
            <v>1000 ML</v>
          </cell>
          <cell r="F303">
            <v>393.74720000000002</v>
          </cell>
          <cell r="G303">
            <v>12</v>
          </cell>
          <cell r="H303">
            <v>53.692799999999998</v>
          </cell>
          <cell r="I303">
            <v>447.44</v>
          </cell>
        </row>
        <row r="304">
          <cell r="B304" t="str">
            <v>Sandhya</v>
          </cell>
          <cell r="C304" t="str">
            <v>Gibberellic Acid 0.001% L</v>
          </cell>
          <cell r="D304" t="str">
            <v>San Gib</v>
          </cell>
          <cell r="E304" t="str">
            <v>500 ML</v>
          </cell>
          <cell r="F304">
            <v>206.14</v>
          </cell>
          <cell r="G304">
            <v>12</v>
          </cell>
          <cell r="H304">
            <v>28.11</v>
          </cell>
          <cell r="I304">
            <v>234.25</v>
          </cell>
        </row>
        <row r="305">
          <cell r="B305" t="str">
            <v>Sandhya</v>
          </cell>
          <cell r="C305" t="str">
            <v>Gibberellic Acid 0.001% L</v>
          </cell>
          <cell r="D305" t="str">
            <v>San Gib</v>
          </cell>
          <cell r="E305" t="str">
            <v>250 ML</v>
          </cell>
          <cell r="F305">
            <v>107.7032</v>
          </cell>
          <cell r="G305">
            <v>12</v>
          </cell>
          <cell r="H305">
            <v>14.6868</v>
          </cell>
          <cell r="I305">
            <v>122.39</v>
          </cell>
        </row>
        <row r="306">
          <cell r="B306" t="str">
            <v>Sandhya</v>
          </cell>
          <cell r="C306" t="str">
            <v>Gibberellic Acid 0.001% L</v>
          </cell>
          <cell r="D306" t="str">
            <v>San Gib</v>
          </cell>
          <cell r="E306" t="str">
            <v>100 ML</v>
          </cell>
          <cell r="F306">
            <v>45.8568</v>
          </cell>
          <cell r="G306">
            <v>12</v>
          </cell>
          <cell r="H306">
            <v>6.2531999999999996</v>
          </cell>
          <cell r="I306">
            <v>52.11</v>
          </cell>
        </row>
        <row r="307">
          <cell r="B307" t="str">
            <v>Sandhya</v>
          </cell>
          <cell r="C307" t="str">
            <v>Tricontanol 0.05% GR</v>
          </cell>
          <cell r="D307" t="str">
            <v>San Tricon Gr</v>
          </cell>
          <cell r="E307" t="str">
            <v>100000 GMS</v>
          </cell>
          <cell r="F307">
            <v>344.4</v>
          </cell>
          <cell r="G307">
            <v>18</v>
          </cell>
          <cell r="H307">
            <v>75.599999999999994</v>
          </cell>
          <cell r="I307">
            <v>420</v>
          </cell>
        </row>
        <row r="308">
          <cell r="B308" t="str">
            <v>Sandhya</v>
          </cell>
          <cell r="C308" t="str">
            <v>Silicon Spreader</v>
          </cell>
          <cell r="D308" t="str">
            <v>Sanwet</v>
          </cell>
          <cell r="E308" t="str">
            <v>1000 ML</v>
          </cell>
          <cell r="F308">
            <v>657.60720000000003</v>
          </cell>
          <cell r="G308">
            <v>18</v>
          </cell>
          <cell r="H308">
            <v>144.3528</v>
          </cell>
          <cell r="I308">
            <v>801.96</v>
          </cell>
        </row>
        <row r="309">
          <cell r="B309" t="str">
            <v>Sandhya</v>
          </cell>
          <cell r="C309" t="str">
            <v>Silicon Spreader</v>
          </cell>
          <cell r="D309" t="str">
            <v>Sanwet</v>
          </cell>
          <cell r="E309" t="str">
            <v>500 ML</v>
          </cell>
          <cell r="F309">
            <v>336.91340000000002</v>
          </cell>
          <cell r="G309">
            <v>18</v>
          </cell>
          <cell r="H309">
            <v>73.956599999999995</v>
          </cell>
          <cell r="I309">
            <v>410.87</v>
          </cell>
        </row>
        <row r="310">
          <cell r="B310" t="str">
            <v>Sandhya</v>
          </cell>
          <cell r="C310" t="str">
            <v>Silicon Spreader</v>
          </cell>
          <cell r="D310" t="str">
            <v>Sanwet</v>
          </cell>
          <cell r="E310" t="str">
            <v>250 ML</v>
          </cell>
          <cell r="F310">
            <v>172.96260000000001</v>
          </cell>
          <cell r="G310">
            <v>18</v>
          </cell>
          <cell r="H310">
            <v>37.967399999999998</v>
          </cell>
          <cell r="I310">
            <v>210.93</v>
          </cell>
        </row>
        <row r="311">
          <cell r="B311" t="str">
            <v>Sandhya</v>
          </cell>
          <cell r="C311" t="str">
            <v>Silicon Spreader</v>
          </cell>
          <cell r="D311" t="str">
            <v>Sanwet</v>
          </cell>
          <cell r="E311" t="str">
            <v>100 ML</v>
          </cell>
          <cell r="F311">
            <v>70.987399999999994</v>
          </cell>
          <cell r="G311">
            <v>18</v>
          </cell>
          <cell r="H311">
            <v>15.582599999999998</v>
          </cell>
          <cell r="I311">
            <v>86.57</v>
          </cell>
        </row>
        <row r="312">
          <cell r="B312" t="str">
            <v>Sandhya</v>
          </cell>
          <cell r="C312" t="str">
            <v>Silicon Spreader</v>
          </cell>
          <cell r="D312" t="str">
            <v>Sanwet</v>
          </cell>
          <cell r="E312" t="str">
            <v>50 ML</v>
          </cell>
          <cell r="F312">
            <v>36.391600000000004</v>
          </cell>
          <cell r="G312">
            <v>18</v>
          </cell>
          <cell r="H312">
            <v>7.9884000000000004</v>
          </cell>
          <cell r="I312">
            <v>44.38</v>
          </cell>
        </row>
        <row r="313">
          <cell r="B313" t="str">
            <v>Sandhya</v>
          </cell>
          <cell r="C313" t="str">
            <v>Micorrizal</v>
          </cell>
          <cell r="D313" t="str">
            <v>San Gold</v>
          </cell>
          <cell r="E313" t="str">
            <v>4000 GMS</v>
          </cell>
          <cell r="F313">
            <v>313.37650000000002</v>
          </cell>
          <cell r="G313">
            <v>5</v>
          </cell>
          <cell r="H313">
            <v>16.493500000000001</v>
          </cell>
          <cell r="I313">
            <v>329.87</v>
          </cell>
        </row>
        <row r="314">
          <cell r="B314" t="str">
            <v>Sandhya</v>
          </cell>
          <cell r="C314" t="str">
            <v>Micorrizal</v>
          </cell>
          <cell r="D314" t="str">
            <v>San Gold</v>
          </cell>
          <cell r="E314" t="str">
            <v>8000 GMS</v>
          </cell>
          <cell r="F314">
            <v>604.36149999999998</v>
          </cell>
          <cell r="G314">
            <v>5</v>
          </cell>
          <cell r="H314">
            <v>31.808499999999999</v>
          </cell>
          <cell r="I314">
            <v>636.16999999999996</v>
          </cell>
        </row>
        <row r="315">
          <cell r="B315" t="str">
            <v>Sandhya</v>
          </cell>
          <cell r="C315" t="str">
            <v>Ethephon 39% SL</v>
          </cell>
          <cell r="D315" t="str">
            <v>Sanphon</v>
          </cell>
          <cell r="E315" t="str">
            <v>250 ML</v>
          </cell>
          <cell r="F315">
            <v>128.23159999999999</v>
          </cell>
          <cell r="G315">
            <v>18</v>
          </cell>
          <cell r="H315">
            <v>28.148399999999999</v>
          </cell>
          <cell r="I315">
            <v>156.38</v>
          </cell>
        </row>
        <row r="316">
          <cell r="B316" t="str">
            <v>Sandhya</v>
          </cell>
          <cell r="C316" t="str">
            <v>Ethephon 39% SL</v>
          </cell>
          <cell r="D316" t="str">
            <v>Sanphon</v>
          </cell>
          <cell r="E316" t="str">
            <v>100 ML</v>
          </cell>
          <cell r="F316">
            <v>53.988800000000005</v>
          </cell>
          <cell r="G316">
            <v>18</v>
          </cell>
          <cell r="H316">
            <v>11.8512</v>
          </cell>
          <cell r="I316">
            <v>65.84</v>
          </cell>
        </row>
        <row r="317">
          <cell r="B317" t="str">
            <v>Sandhya</v>
          </cell>
          <cell r="C317" t="str">
            <v>Sea Weed Extract</v>
          </cell>
          <cell r="D317" t="str">
            <v>Vancy Gold</v>
          </cell>
          <cell r="E317" t="str">
            <v>1000 ML</v>
          </cell>
          <cell r="F317">
            <v>1113.21</v>
          </cell>
          <cell r="G317">
            <v>5</v>
          </cell>
          <cell r="H317">
            <v>58.59</v>
          </cell>
          <cell r="I317">
            <v>1171.8</v>
          </cell>
        </row>
        <row r="318">
          <cell r="B318" t="str">
            <v>Sandhya</v>
          </cell>
          <cell r="C318" t="str">
            <v>Sea Weed Extract</v>
          </cell>
          <cell r="D318" t="str">
            <v>Vancy Gold</v>
          </cell>
          <cell r="E318" t="str">
            <v>500 ML</v>
          </cell>
          <cell r="F318">
            <v>564.49</v>
          </cell>
          <cell r="G318">
            <v>5</v>
          </cell>
          <cell r="H318">
            <v>29.710000000000004</v>
          </cell>
          <cell r="I318">
            <v>594.20000000000005</v>
          </cell>
        </row>
        <row r="319">
          <cell r="B319" t="str">
            <v>Sandhya</v>
          </cell>
          <cell r="C319" t="str">
            <v>Sea Weed Extract</v>
          </cell>
          <cell r="D319" t="str">
            <v>Vancy Gold</v>
          </cell>
          <cell r="E319" t="str">
            <v>250 ML</v>
          </cell>
          <cell r="F319">
            <v>288.971</v>
          </cell>
          <cell r="G319">
            <v>5</v>
          </cell>
          <cell r="H319">
            <v>15.209000000000001</v>
          </cell>
          <cell r="I319">
            <v>304.18</v>
          </cell>
        </row>
        <row r="320">
          <cell r="B320" t="str">
            <v>Sandhya</v>
          </cell>
          <cell r="C320" t="str">
            <v>Sea Weed Extract</v>
          </cell>
          <cell r="D320" t="str">
            <v>Vancy Gold</v>
          </cell>
          <cell r="E320" t="str">
            <v>100 ML</v>
          </cell>
          <cell r="F320">
            <v>117.3535</v>
          </cell>
          <cell r="G320">
            <v>5</v>
          </cell>
          <cell r="H320">
            <v>6.1765000000000008</v>
          </cell>
          <cell r="I320">
            <v>123.53</v>
          </cell>
        </row>
        <row r="321">
          <cell r="B321" t="str">
            <v>Sandhya</v>
          </cell>
          <cell r="C321" t="str">
            <v>Sea Weed Extract</v>
          </cell>
          <cell r="D321" t="str">
            <v>Vancy Gold</v>
          </cell>
          <cell r="E321" t="str">
            <v>50 ML</v>
          </cell>
          <cell r="F321">
            <v>59.878500000000003</v>
          </cell>
          <cell r="G321">
            <v>5</v>
          </cell>
          <cell r="H321">
            <v>3.1515000000000004</v>
          </cell>
          <cell r="I321">
            <v>63.03</v>
          </cell>
        </row>
        <row r="322">
          <cell r="B322" t="str">
            <v>Sandhya</v>
          </cell>
          <cell r="C322" t="str">
            <v>Novaluran 5.25% + Emamectin Benzoate 0.9% SC</v>
          </cell>
          <cell r="D322" t="str">
            <v>Noben</v>
          </cell>
          <cell r="E322" t="str">
            <v>1000 ML</v>
          </cell>
          <cell r="F322">
            <v>1183.26</v>
          </cell>
          <cell r="G322">
            <v>18</v>
          </cell>
          <cell r="H322">
            <v>259.74</v>
          </cell>
          <cell r="I322">
            <v>1443</v>
          </cell>
        </row>
        <row r="323">
          <cell r="B323" t="str">
            <v>Sandhya</v>
          </cell>
          <cell r="C323" t="str">
            <v>Novaluran 5.25% + Emamectin Benzoate 0.9% SC</v>
          </cell>
          <cell r="D323" t="str">
            <v>Noben</v>
          </cell>
          <cell r="E323" t="str">
            <v>500 ML</v>
          </cell>
          <cell r="F323">
            <v>601.05999999999995</v>
          </cell>
          <cell r="G323">
            <v>18</v>
          </cell>
          <cell r="H323">
            <v>131.94</v>
          </cell>
          <cell r="I323">
            <v>733</v>
          </cell>
        </row>
        <row r="324">
          <cell r="B324" t="str">
            <v>Sandhya</v>
          </cell>
          <cell r="C324" t="str">
            <v>Novaluran 5.25% + Emamectin Benzoate 0.9% SC</v>
          </cell>
          <cell r="D324" t="str">
            <v>Noben</v>
          </cell>
          <cell r="E324" t="str">
            <v>250 ML</v>
          </cell>
          <cell r="F324">
            <v>305.86</v>
          </cell>
          <cell r="G324">
            <v>18</v>
          </cell>
          <cell r="H324">
            <v>67.14</v>
          </cell>
          <cell r="I324">
            <v>373</v>
          </cell>
        </row>
        <row r="325">
          <cell r="B325" t="str">
            <v>Sandhya</v>
          </cell>
          <cell r="C325" t="str">
            <v>Novaluran 5.25% + Emamectin Benzoate 0.9% SC</v>
          </cell>
          <cell r="D325" t="str">
            <v>Noben</v>
          </cell>
          <cell r="E325" t="str">
            <v>100 ML</v>
          </cell>
          <cell r="F325">
            <v>124.64</v>
          </cell>
          <cell r="G325">
            <v>18</v>
          </cell>
          <cell r="H325">
            <v>27.36</v>
          </cell>
          <cell r="I325">
            <v>152</v>
          </cell>
        </row>
        <row r="326">
          <cell r="B326" t="str">
            <v>Sandhya</v>
          </cell>
          <cell r="C326" t="str">
            <v>Dinotefuran 15% + Pymetrozine 45% WG</v>
          </cell>
          <cell r="D326" t="str">
            <v>Pyroman</v>
          </cell>
          <cell r="E326" t="str">
            <v>133.2 GMS</v>
          </cell>
          <cell r="F326">
            <v>275.68399999999997</v>
          </cell>
          <cell r="G326">
            <v>18</v>
          </cell>
          <cell r="H326">
            <v>60.515999999999998</v>
          </cell>
          <cell r="I326">
            <v>336.2</v>
          </cell>
        </row>
        <row r="327">
          <cell r="B327" t="str">
            <v>Sandhya</v>
          </cell>
          <cell r="C327" t="str">
            <v>Dinotefuran 15% + Pymetrozine 45% WG</v>
          </cell>
          <cell r="D327" t="str">
            <v>Pyroman</v>
          </cell>
          <cell r="E327" t="str">
            <v>333 GMS</v>
          </cell>
          <cell r="F327">
            <v>666.74199999999996</v>
          </cell>
          <cell r="G327">
            <v>18</v>
          </cell>
          <cell r="H327">
            <v>146.358</v>
          </cell>
          <cell r="I327">
            <v>813.1</v>
          </cell>
        </row>
        <row r="328">
          <cell r="B328" t="str">
            <v>Sandhya</v>
          </cell>
          <cell r="C328" t="str">
            <v>Chlorantraniliprole 9.3% + Lambdacyhalothrin 4.6% ZC</v>
          </cell>
          <cell r="D328" t="str">
            <v>Antiago</v>
          </cell>
          <cell r="E328" t="str">
            <v>1000 ML</v>
          </cell>
          <cell r="F328">
            <v>2114.7800000000002</v>
          </cell>
          <cell r="G328">
            <v>18</v>
          </cell>
          <cell r="H328">
            <v>464.21999999999997</v>
          </cell>
          <cell r="I328">
            <v>2579</v>
          </cell>
        </row>
        <row r="329">
          <cell r="B329" t="str">
            <v>Sandhya</v>
          </cell>
          <cell r="C329" t="str">
            <v>Chlorantraniliprole 9.3% + Lambdacyhalothrin 4.6% ZC</v>
          </cell>
          <cell r="D329" t="str">
            <v>Antiago</v>
          </cell>
          <cell r="E329" t="str">
            <v>500 ML</v>
          </cell>
          <cell r="F329">
            <v>1073.3800000000001</v>
          </cell>
          <cell r="G329">
            <v>18</v>
          </cell>
          <cell r="H329">
            <v>235.62</v>
          </cell>
          <cell r="I329">
            <v>1309</v>
          </cell>
        </row>
        <row r="330">
          <cell r="B330" t="str">
            <v>Sandhya</v>
          </cell>
          <cell r="C330" t="str">
            <v>Chlorantraniliprole 9.3% + Lambdacyhalothrin 4.6% ZC</v>
          </cell>
          <cell r="D330" t="str">
            <v>Antiago</v>
          </cell>
          <cell r="E330" t="str">
            <v>200 ML</v>
          </cell>
          <cell r="F330">
            <v>435.42</v>
          </cell>
          <cell r="G330">
            <v>18</v>
          </cell>
          <cell r="H330">
            <v>95.58</v>
          </cell>
          <cell r="I330">
            <v>531</v>
          </cell>
        </row>
        <row r="331">
          <cell r="B331" t="str">
            <v>Sandhya</v>
          </cell>
          <cell r="C331" t="str">
            <v>Chlorantraniliprole 9.3% + Lambdacyhalothrin 4.6% ZC</v>
          </cell>
          <cell r="D331" t="str">
            <v>Antiago</v>
          </cell>
          <cell r="E331" t="str">
            <v>80 ML</v>
          </cell>
          <cell r="F331">
            <v>0</v>
          </cell>
          <cell r="G331">
            <v>18</v>
          </cell>
          <cell r="H331">
            <v>0</v>
          </cell>
          <cell r="I331">
            <v>0</v>
          </cell>
        </row>
        <row r="332">
          <cell r="B332" t="str">
            <v>Sandhya</v>
          </cell>
          <cell r="C332" t="str">
            <v>Azoxystrobin 18.2% + Difenconazole 11.4% SC</v>
          </cell>
          <cell r="D332" t="str">
            <v>Stofen</v>
          </cell>
          <cell r="E332" t="str">
            <v>1000 ML</v>
          </cell>
          <cell r="F332">
            <v>1038.94</v>
          </cell>
          <cell r="G332">
            <v>18</v>
          </cell>
          <cell r="H332">
            <v>228.06</v>
          </cell>
          <cell r="I332">
            <v>1267</v>
          </cell>
        </row>
        <row r="333">
          <cell r="B333" t="str">
            <v>Sandhya</v>
          </cell>
          <cell r="C333" t="str">
            <v>Azoxystrobin 18.2% + Difenconazole 11.4% SC</v>
          </cell>
          <cell r="D333" t="str">
            <v>Stofen</v>
          </cell>
          <cell r="E333" t="str">
            <v>500 ML</v>
          </cell>
          <cell r="F333">
            <v>533</v>
          </cell>
          <cell r="G333">
            <v>18</v>
          </cell>
          <cell r="H333">
            <v>117</v>
          </cell>
          <cell r="I333">
            <v>650</v>
          </cell>
        </row>
        <row r="334">
          <cell r="B334" t="str">
            <v>Sandhya</v>
          </cell>
          <cell r="C334" t="str">
            <v>Azoxystrobin 18.2% + Difenconazole 11.4% SC</v>
          </cell>
          <cell r="D334" t="str">
            <v>Stofen</v>
          </cell>
          <cell r="E334" t="str">
            <v>250 ML</v>
          </cell>
          <cell r="F334">
            <v>274.7</v>
          </cell>
          <cell r="G334">
            <v>18</v>
          </cell>
          <cell r="H334">
            <v>60.3</v>
          </cell>
          <cell r="I334">
            <v>335</v>
          </cell>
        </row>
        <row r="335">
          <cell r="B335" t="str">
            <v>Sandhya</v>
          </cell>
          <cell r="C335" t="str">
            <v>Azoxystrobin 18.2% + Difenconazole 11.4% SC</v>
          </cell>
          <cell r="D335" t="str">
            <v>Stofen</v>
          </cell>
          <cell r="E335" t="str">
            <v>100 ML</v>
          </cell>
          <cell r="F335">
            <v>113.98</v>
          </cell>
          <cell r="G335">
            <v>18</v>
          </cell>
          <cell r="H335">
            <v>25.02</v>
          </cell>
          <cell r="I335">
            <v>139</v>
          </cell>
        </row>
        <row r="336">
          <cell r="B336" t="str">
            <v>Sandhya</v>
          </cell>
          <cell r="C336" t="str">
            <v>Thifluzamide 24% SC</v>
          </cell>
          <cell r="D336" t="str">
            <v>Salar</v>
          </cell>
          <cell r="E336" t="str">
            <v>1000 ML</v>
          </cell>
          <cell r="F336">
            <v>1357.1</v>
          </cell>
          <cell r="G336">
            <v>18</v>
          </cell>
          <cell r="H336">
            <v>297.89999999999998</v>
          </cell>
          <cell r="I336">
            <v>1655</v>
          </cell>
        </row>
        <row r="337">
          <cell r="B337" t="str">
            <v>Sandhya</v>
          </cell>
          <cell r="C337" t="str">
            <v>Thifluzamide 24% SC</v>
          </cell>
          <cell r="D337" t="str">
            <v>Salar</v>
          </cell>
          <cell r="E337" t="str">
            <v>500 ML</v>
          </cell>
          <cell r="F337">
            <v>686.34</v>
          </cell>
          <cell r="G337">
            <v>18</v>
          </cell>
          <cell r="H337">
            <v>150.66</v>
          </cell>
          <cell r="I337">
            <v>837</v>
          </cell>
        </row>
        <row r="338">
          <cell r="B338" t="str">
            <v>Sandhya</v>
          </cell>
          <cell r="C338" t="str">
            <v>Thifluzamide 24% SC</v>
          </cell>
          <cell r="D338" t="str">
            <v>Salar</v>
          </cell>
          <cell r="E338" t="str">
            <v>150 ML</v>
          </cell>
          <cell r="F338">
            <v>209.92000000000002</v>
          </cell>
          <cell r="G338">
            <v>18</v>
          </cell>
          <cell r="H338">
            <v>46.08</v>
          </cell>
          <cell r="I338">
            <v>256</v>
          </cell>
        </row>
        <row r="339">
          <cell r="B339" t="str">
            <v>Sandhya</v>
          </cell>
          <cell r="C339" t="str">
            <v>Tebuconazole 25% WG</v>
          </cell>
          <cell r="D339" t="str">
            <v>San Teb Xtra</v>
          </cell>
          <cell r="E339" t="str">
            <v>1000 GMS</v>
          </cell>
          <cell r="F339">
            <v>701.1</v>
          </cell>
          <cell r="G339">
            <v>18</v>
          </cell>
          <cell r="H339">
            <v>153.9</v>
          </cell>
          <cell r="I339">
            <v>855</v>
          </cell>
        </row>
        <row r="340">
          <cell r="B340" t="str">
            <v>Sandhya</v>
          </cell>
          <cell r="C340" t="str">
            <v>Chlorantraniliprole 0.4% GR</v>
          </cell>
          <cell r="D340" t="str">
            <v>Rodon Gr</v>
          </cell>
          <cell r="E340" t="str">
            <v>4000 GMS</v>
          </cell>
          <cell r="F340">
            <v>302.35860000000002</v>
          </cell>
          <cell r="G340">
            <v>18</v>
          </cell>
          <cell r="H340">
            <v>66.371399999999994</v>
          </cell>
          <cell r="I340">
            <v>368.73</v>
          </cell>
        </row>
        <row r="341">
          <cell r="B341" t="str">
            <v>Sandhya</v>
          </cell>
          <cell r="C341" t="str">
            <v>Fipronil 0.6% GR</v>
          </cell>
          <cell r="D341" t="str">
            <v>San Fipro O.6 Gr</v>
          </cell>
          <cell r="E341" t="str">
            <v>4000 GMS</v>
          </cell>
          <cell r="F341">
            <v>269.96040000000005</v>
          </cell>
          <cell r="G341">
            <v>18</v>
          </cell>
          <cell r="H341">
            <v>59.259600000000006</v>
          </cell>
          <cell r="I341">
            <v>329.22</v>
          </cell>
        </row>
        <row r="342">
          <cell r="B342" t="str">
            <v>Sandhya</v>
          </cell>
          <cell r="C342" t="str">
            <v>Pendimethalin 30% + Imazethapyr 2% EC</v>
          </cell>
          <cell r="D342" t="str">
            <v>I Pendi</v>
          </cell>
          <cell r="E342" t="str">
            <v>1000 ML</v>
          </cell>
          <cell r="F342">
            <v>374.74</v>
          </cell>
          <cell r="G342">
            <v>18</v>
          </cell>
          <cell r="H342">
            <v>82.259999999999991</v>
          </cell>
          <cell r="I342">
            <v>457</v>
          </cell>
        </row>
        <row r="343">
          <cell r="B343" t="str">
            <v>Sandhya</v>
          </cell>
          <cell r="C343" t="str">
            <v>Cyhalofop Butyl 5.1% + Penoxsulam 1.02% OD</v>
          </cell>
          <cell r="D343" t="str">
            <v>Koriyan</v>
          </cell>
          <cell r="E343" t="str">
            <v>1000 ML</v>
          </cell>
          <cell r="F343">
            <v>800.88580000000002</v>
          </cell>
          <cell r="G343">
            <v>18</v>
          </cell>
          <cell r="H343">
            <v>175.80420000000001</v>
          </cell>
          <cell r="I343">
            <v>976.69</v>
          </cell>
        </row>
        <row r="344">
          <cell r="B344" t="str">
            <v>Sandhya</v>
          </cell>
          <cell r="C344" t="str">
            <v>Cyhalofop Butyl 5.1% + Penoxsulam 1.02% OD</v>
          </cell>
          <cell r="D344" t="str">
            <v>Koriyan</v>
          </cell>
          <cell r="E344" t="str">
            <v>400 ML</v>
          </cell>
          <cell r="F344">
            <v>334.74860000000001</v>
          </cell>
          <cell r="G344">
            <v>18</v>
          </cell>
          <cell r="H344">
            <v>73.481399999999994</v>
          </cell>
          <cell r="I344">
            <v>408.23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ump"/>
      <sheetName val="Work"/>
      <sheetName val="PriceList"/>
    </sheetNames>
    <sheetDataSet>
      <sheetData sheetId="0"/>
      <sheetData sheetId="1"/>
      <sheetData sheetId="2">
        <row r="1">
          <cell r="B1" t="str">
            <v>Company</v>
          </cell>
          <cell r="C1" t="str">
            <v>Technical</v>
          </cell>
          <cell r="D1" t="str">
            <v>Product Name</v>
          </cell>
          <cell r="E1" t="str">
            <v>Packing</v>
          </cell>
          <cell r="F1" t="str">
            <v>Unit Price</v>
          </cell>
          <cell r="G1" t="str">
            <v>GST %</v>
          </cell>
          <cell r="H1" t="str">
            <v>GST</v>
          </cell>
          <cell r="I1" t="str">
            <v>Price wt GST</v>
          </cell>
        </row>
        <row r="2">
          <cell r="B2" t="str">
            <v>Axis</v>
          </cell>
          <cell r="C2" t="str">
            <v>Novaluran 5.25% + Emamectin Benzoate 0.9% SC</v>
          </cell>
          <cell r="D2" t="str">
            <v>Affect</v>
          </cell>
          <cell r="E2" t="str">
            <v>250 ML</v>
          </cell>
          <cell r="F2">
            <v>350</v>
          </cell>
          <cell r="G2">
            <v>18</v>
          </cell>
          <cell r="H2">
            <v>63</v>
          </cell>
          <cell r="I2">
            <v>413</v>
          </cell>
        </row>
        <row r="3">
          <cell r="B3" t="str">
            <v>Axis</v>
          </cell>
          <cell r="C3" t="str">
            <v>Novaluran 5.25% + Emamectin Benzoate 0.9% SC</v>
          </cell>
          <cell r="D3" t="str">
            <v>Affect</v>
          </cell>
          <cell r="E3" t="str">
            <v>500 ML</v>
          </cell>
          <cell r="F3">
            <v>685</v>
          </cell>
          <cell r="G3">
            <v>18</v>
          </cell>
          <cell r="H3">
            <v>123.3</v>
          </cell>
          <cell r="I3">
            <v>808.3</v>
          </cell>
        </row>
        <row r="4">
          <cell r="B4" t="str">
            <v>Axis</v>
          </cell>
          <cell r="C4" t="str">
            <v>Novaluran 5.25% + Emamectin Benzoate 0.9% SC</v>
          </cell>
          <cell r="D4" t="str">
            <v>Affect</v>
          </cell>
          <cell r="E4" t="str">
            <v>1000 ML</v>
          </cell>
          <cell r="F4">
            <v>1349</v>
          </cell>
          <cell r="G4">
            <v>18</v>
          </cell>
          <cell r="H4">
            <v>242.82</v>
          </cell>
          <cell r="I4">
            <v>1591.82</v>
          </cell>
        </row>
        <row r="5">
          <cell r="B5" t="str">
            <v>Axis</v>
          </cell>
          <cell r="C5" t="str">
            <v>Fenpyroximate 5% EC</v>
          </cell>
          <cell r="D5" t="str">
            <v>Axgate</v>
          </cell>
          <cell r="E5" t="str">
            <v>250 ML</v>
          </cell>
          <cell r="F5">
            <v>238.5</v>
          </cell>
          <cell r="G5">
            <v>18</v>
          </cell>
          <cell r="H5">
            <v>42.93</v>
          </cell>
          <cell r="I5">
            <v>281.43</v>
          </cell>
        </row>
        <row r="6">
          <cell r="B6" t="str">
            <v>Axis</v>
          </cell>
          <cell r="C6" t="str">
            <v>Fenpyroximate 5% EC</v>
          </cell>
          <cell r="D6" t="str">
            <v>Axgate</v>
          </cell>
          <cell r="E6" t="str">
            <v>500 ML</v>
          </cell>
          <cell r="F6">
            <v>469</v>
          </cell>
          <cell r="G6">
            <v>18</v>
          </cell>
          <cell r="H6">
            <v>84.42</v>
          </cell>
          <cell r="I6">
            <v>553.41999999999996</v>
          </cell>
        </row>
        <row r="7">
          <cell r="B7" t="str">
            <v>Axis</v>
          </cell>
          <cell r="C7" t="str">
            <v>Fenpyroximate 5% EC</v>
          </cell>
          <cell r="D7" t="str">
            <v>Axgate</v>
          </cell>
          <cell r="E7" t="str">
            <v>1000 ML</v>
          </cell>
          <cell r="F7">
            <v>913</v>
          </cell>
          <cell r="G7">
            <v>18</v>
          </cell>
          <cell r="H7">
            <v>164.34</v>
          </cell>
          <cell r="I7">
            <v>1077.3399999999999</v>
          </cell>
        </row>
        <row r="8">
          <cell r="B8" t="str">
            <v>Axis</v>
          </cell>
          <cell r="C8" t="str">
            <v>Imidacloprid 70% WG</v>
          </cell>
          <cell r="D8" t="str">
            <v xml:space="preserve">Axora
</v>
          </cell>
          <cell r="E8" t="str">
            <v>75 GMS</v>
          </cell>
          <cell r="F8">
            <v>153.75</v>
          </cell>
          <cell r="G8">
            <v>18</v>
          </cell>
          <cell r="H8">
            <v>27.675000000000001</v>
          </cell>
          <cell r="I8">
            <v>181.42500000000001</v>
          </cell>
        </row>
        <row r="9">
          <cell r="B9" t="str">
            <v>Axis</v>
          </cell>
          <cell r="C9" t="str">
            <v>Imidacloprid 70% WG</v>
          </cell>
          <cell r="D9" t="str">
            <v xml:space="preserve">Axora
</v>
          </cell>
          <cell r="E9" t="str">
            <v>150 GMS</v>
          </cell>
          <cell r="F9">
            <v>292.2</v>
          </cell>
          <cell r="G9">
            <v>18</v>
          </cell>
          <cell r="H9">
            <v>52.595999999999997</v>
          </cell>
          <cell r="I9">
            <v>344.79599999999999</v>
          </cell>
        </row>
        <row r="10">
          <cell r="B10" t="str">
            <v>Axis</v>
          </cell>
          <cell r="C10" t="str">
            <v>Imidacloprid 70% WG</v>
          </cell>
          <cell r="D10" t="str">
            <v xml:space="preserve">Axora
</v>
          </cell>
          <cell r="E10" t="str">
            <v>300 GMS</v>
          </cell>
          <cell r="F10">
            <v>569.1</v>
          </cell>
          <cell r="G10">
            <v>18</v>
          </cell>
          <cell r="H10">
            <v>102.438</v>
          </cell>
          <cell r="I10">
            <v>671.53800000000001</v>
          </cell>
        </row>
        <row r="11">
          <cell r="B11" t="str">
            <v>Axis</v>
          </cell>
          <cell r="C11" t="str">
            <v>Paraquat Dichloride 24% SL</v>
          </cell>
          <cell r="D11" t="str">
            <v>Axquit</v>
          </cell>
          <cell r="E11" t="str">
            <v>500 ML</v>
          </cell>
          <cell r="F11">
            <v>120.5</v>
          </cell>
          <cell r="G11">
            <v>18</v>
          </cell>
          <cell r="H11">
            <v>21.689999999999998</v>
          </cell>
          <cell r="I11">
            <v>142.19</v>
          </cell>
        </row>
        <row r="12">
          <cell r="B12" t="str">
            <v>Axis</v>
          </cell>
          <cell r="C12" t="str">
            <v>Paraquat Dichloride 24% SL</v>
          </cell>
          <cell r="D12" t="str">
            <v>Axquit</v>
          </cell>
          <cell r="E12" t="str">
            <v>1000 ML</v>
          </cell>
          <cell r="F12">
            <v>221</v>
          </cell>
          <cell r="G12">
            <v>18</v>
          </cell>
          <cell r="H12">
            <v>39.78</v>
          </cell>
          <cell r="I12">
            <v>260.77999999999997</v>
          </cell>
        </row>
        <row r="13">
          <cell r="B13" t="str">
            <v>Axis</v>
          </cell>
          <cell r="C13" t="str">
            <v>Paraquat Dichloride 24% SL</v>
          </cell>
          <cell r="D13" t="str">
            <v>Axquit</v>
          </cell>
          <cell r="E13" t="str">
            <v>5000 ML</v>
          </cell>
          <cell r="F13">
            <v>1080</v>
          </cell>
          <cell r="G13">
            <v>18</v>
          </cell>
          <cell r="H13">
            <v>194.4</v>
          </cell>
          <cell r="I13">
            <v>1274.4000000000001</v>
          </cell>
        </row>
        <row r="14">
          <cell r="B14" t="str">
            <v>Axis</v>
          </cell>
          <cell r="C14" t="str">
            <v>Acetamiprid 20% SP</v>
          </cell>
          <cell r="D14" t="str">
            <v>Axtra</v>
          </cell>
          <cell r="E14" t="str">
            <v>100 GMS</v>
          </cell>
          <cell r="F14">
            <v>67.7</v>
          </cell>
          <cell r="G14">
            <v>18</v>
          </cell>
          <cell r="H14">
            <v>12.186</v>
          </cell>
          <cell r="I14">
            <v>79.885999999999996</v>
          </cell>
        </row>
        <row r="15">
          <cell r="B15" t="str">
            <v>Axis</v>
          </cell>
          <cell r="C15" t="str">
            <v>Acetamiprid 20% SP</v>
          </cell>
          <cell r="D15" t="str">
            <v>Axtra</v>
          </cell>
          <cell r="E15" t="str">
            <v>250 GMS</v>
          </cell>
          <cell r="F15">
            <v>152.5</v>
          </cell>
          <cell r="G15">
            <v>18</v>
          </cell>
          <cell r="H15">
            <v>27.45</v>
          </cell>
          <cell r="I15">
            <v>179.95</v>
          </cell>
        </row>
        <row r="16">
          <cell r="B16" t="str">
            <v>Axis</v>
          </cell>
          <cell r="C16" t="str">
            <v>Acetamiprid 20% SP</v>
          </cell>
          <cell r="D16" t="str">
            <v>Axtra</v>
          </cell>
          <cell r="E16" t="str">
            <v>500 GMS</v>
          </cell>
          <cell r="F16">
            <v>295</v>
          </cell>
          <cell r="G16">
            <v>18</v>
          </cell>
          <cell r="H16">
            <v>53.1</v>
          </cell>
          <cell r="I16">
            <v>348.1</v>
          </cell>
        </row>
        <row r="17">
          <cell r="B17" t="str">
            <v>Axis</v>
          </cell>
          <cell r="C17" t="str">
            <v>Dinotefuran 15% + Pymetrozine 45% WG</v>
          </cell>
          <cell r="D17" t="str">
            <v>Bold</v>
          </cell>
          <cell r="E17" t="str">
            <v>133.2 GMS</v>
          </cell>
          <cell r="F17">
            <v>380.02</v>
          </cell>
          <cell r="G17">
            <v>18</v>
          </cell>
          <cell r="H17">
            <v>68.403599999999997</v>
          </cell>
          <cell r="I17">
            <v>448.42359999999996</v>
          </cell>
        </row>
        <row r="18">
          <cell r="B18" t="str">
            <v>Axis</v>
          </cell>
          <cell r="C18" t="str">
            <v>Dinotefuran 15% + Pymetrozine 45% WG</v>
          </cell>
          <cell r="D18" t="str">
            <v>Bold</v>
          </cell>
          <cell r="E18" t="str">
            <v>333 GMS</v>
          </cell>
          <cell r="F18">
            <v>916.42</v>
          </cell>
          <cell r="G18">
            <v>18</v>
          </cell>
          <cell r="H18">
            <v>164.95559999999998</v>
          </cell>
          <cell r="I18">
            <v>1081.3755999999998</v>
          </cell>
        </row>
        <row r="19">
          <cell r="B19" t="str">
            <v>Axis</v>
          </cell>
          <cell r="C19" t="str">
            <v>Emamectin Benzoate 5% SG</v>
          </cell>
          <cell r="D19" t="str">
            <v>Bomber</v>
          </cell>
          <cell r="E19" t="str">
            <v>100 GMS</v>
          </cell>
          <cell r="F19">
            <v>131.19999999999999</v>
          </cell>
          <cell r="G19">
            <v>18</v>
          </cell>
          <cell r="H19">
            <v>23.615999999999996</v>
          </cell>
          <cell r="I19">
            <v>154.81599999999997</v>
          </cell>
        </row>
        <row r="20">
          <cell r="B20" t="str">
            <v>Axis</v>
          </cell>
          <cell r="C20" t="str">
            <v>Emamectin Benzoate 5% SG</v>
          </cell>
          <cell r="D20" t="str">
            <v>Bomber</v>
          </cell>
          <cell r="E20" t="str">
            <v>250 GMS</v>
          </cell>
          <cell r="F20">
            <v>284.5</v>
          </cell>
          <cell r="G20">
            <v>18</v>
          </cell>
          <cell r="H20">
            <v>51.21</v>
          </cell>
          <cell r="I20">
            <v>335.71</v>
          </cell>
        </row>
        <row r="21">
          <cell r="B21" t="str">
            <v>Axis</v>
          </cell>
          <cell r="C21" t="str">
            <v>Emamectin Benzoate 5% SG</v>
          </cell>
          <cell r="D21" t="str">
            <v>Bomber</v>
          </cell>
          <cell r="E21" t="str">
            <v>500 GMS</v>
          </cell>
          <cell r="F21">
            <v>538.5</v>
          </cell>
          <cell r="G21">
            <v>18</v>
          </cell>
          <cell r="H21">
            <v>96.929999999999993</v>
          </cell>
          <cell r="I21">
            <v>635.42999999999995</v>
          </cell>
        </row>
        <row r="22">
          <cell r="B22" t="str">
            <v>Axis</v>
          </cell>
          <cell r="C22" t="str">
            <v>Emamectin Benzoate 5% SG</v>
          </cell>
          <cell r="D22" t="str">
            <v>Bomber</v>
          </cell>
          <cell r="E22" t="str">
            <v>1000 GMS</v>
          </cell>
          <cell r="F22">
            <v>1056</v>
          </cell>
          <cell r="G22">
            <v>18</v>
          </cell>
          <cell r="H22">
            <v>190.07999999999998</v>
          </cell>
          <cell r="I22">
            <v>1246.08</v>
          </cell>
        </row>
        <row r="23">
          <cell r="B23" t="str">
            <v>Axis</v>
          </cell>
          <cell r="C23" t="str">
            <v>Carbendazim 50% WP</v>
          </cell>
          <cell r="D23" t="str">
            <v>Carbax</v>
          </cell>
          <cell r="E23" t="str">
            <v>250 GMS</v>
          </cell>
          <cell r="F23">
            <v>125</v>
          </cell>
          <cell r="G23">
            <v>18</v>
          </cell>
          <cell r="H23">
            <v>22.5</v>
          </cell>
          <cell r="I23">
            <v>147.5</v>
          </cell>
        </row>
        <row r="24">
          <cell r="B24" t="str">
            <v>Axis</v>
          </cell>
          <cell r="C24" t="str">
            <v>Carbendazim 50% WP</v>
          </cell>
          <cell r="D24" t="str">
            <v>Carbax</v>
          </cell>
          <cell r="E24" t="str">
            <v>500 GMS</v>
          </cell>
          <cell r="F24">
            <v>245</v>
          </cell>
          <cell r="G24">
            <v>18</v>
          </cell>
          <cell r="H24">
            <v>44.1</v>
          </cell>
          <cell r="I24">
            <v>289.10000000000002</v>
          </cell>
        </row>
        <row r="25">
          <cell r="B25" t="str">
            <v>Axis</v>
          </cell>
          <cell r="C25" t="str">
            <v>Carbendazim 50% WP</v>
          </cell>
          <cell r="D25" t="str">
            <v>Carbax</v>
          </cell>
          <cell r="E25" t="str">
            <v>1000 GMS</v>
          </cell>
          <cell r="F25">
            <v>480</v>
          </cell>
          <cell r="G25">
            <v>18</v>
          </cell>
          <cell r="H25">
            <v>86.399999999999991</v>
          </cell>
          <cell r="I25">
            <v>566.4</v>
          </cell>
        </row>
        <row r="26">
          <cell r="B26" t="str">
            <v>Axis</v>
          </cell>
          <cell r="C26" t="str">
            <v>Pymetrozine 50% WG</v>
          </cell>
          <cell r="D26" t="str">
            <v>Champ Super</v>
          </cell>
          <cell r="E26" t="str">
            <v>120 GMS</v>
          </cell>
          <cell r="F26">
            <v>180.24</v>
          </cell>
          <cell r="G26">
            <v>18</v>
          </cell>
          <cell r="H26">
            <v>32.443199999999997</v>
          </cell>
          <cell r="I26">
            <v>212.6832</v>
          </cell>
        </row>
        <row r="27">
          <cell r="B27" t="str">
            <v>Axis</v>
          </cell>
          <cell r="C27" t="str">
            <v>Pymetrozine 50% WG</v>
          </cell>
          <cell r="D27" t="str">
            <v>Champ Super</v>
          </cell>
          <cell r="E27" t="str">
            <v>250 GMS</v>
          </cell>
          <cell r="F27">
            <v>355.25</v>
          </cell>
          <cell r="G27">
            <v>18</v>
          </cell>
          <cell r="H27">
            <v>63.945</v>
          </cell>
          <cell r="I27">
            <v>419.19499999999999</v>
          </cell>
        </row>
        <row r="28">
          <cell r="B28" t="str">
            <v>Axis</v>
          </cell>
          <cell r="C28" t="str">
            <v>Pymetrozine 50% WG</v>
          </cell>
          <cell r="D28" t="str">
            <v>Champ Super</v>
          </cell>
          <cell r="E28" t="str">
            <v>500 GMS</v>
          </cell>
          <cell r="F28">
            <v>699.5</v>
          </cell>
          <cell r="G28">
            <v>18</v>
          </cell>
          <cell r="H28">
            <v>125.91</v>
          </cell>
          <cell r="I28">
            <v>825.41</v>
          </cell>
        </row>
        <row r="29">
          <cell r="B29" t="str">
            <v>Axis</v>
          </cell>
          <cell r="C29" t="str">
            <v>Pymetrozine 50% WG</v>
          </cell>
          <cell r="D29" t="str">
            <v>Champ Super</v>
          </cell>
          <cell r="E29" t="str">
            <v>1000 GMS</v>
          </cell>
          <cell r="F29">
            <v>1348</v>
          </cell>
          <cell r="G29">
            <v>18</v>
          </cell>
          <cell r="H29">
            <v>242.64</v>
          </cell>
          <cell r="I29">
            <v>1590.6399999999999</v>
          </cell>
        </row>
        <row r="30">
          <cell r="B30" t="str">
            <v>Axis</v>
          </cell>
          <cell r="C30" t="str">
            <v>Hexaconazole 5% EC</v>
          </cell>
          <cell r="D30" t="str">
            <v>Convax EC</v>
          </cell>
          <cell r="E30" t="str">
            <v>250 ML</v>
          </cell>
          <cell r="F30">
            <v>87.25</v>
          </cell>
          <cell r="G30">
            <v>18</v>
          </cell>
          <cell r="H30">
            <v>15.705</v>
          </cell>
          <cell r="I30">
            <v>102.955</v>
          </cell>
        </row>
        <row r="31">
          <cell r="B31" t="str">
            <v>Axis</v>
          </cell>
          <cell r="C31" t="str">
            <v>Hexaconazole 5% EC</v>
          </cell>
          <cell r="D31" t="str">
            <v>Convax EC</v>
          </cell>
          <cell r="E31" t="str">
            <v>500 ML</v>
          </cell>
          <cell r="F31">
            <v>155</v>
          </cell>
          <cell r="G31">
            <v>18</v>
          </cell>
          <cell r="H31">
            <v>27.9</v>
          </cell>
          <cell r="I31">
            <v>182.9</v>
          </cell>
        </row>
        <row r="32">
          <cell r="B32" t="str">
            <v>Axis</v>
          </cell>
          <cell r="C32" t="str">
            <v>Hexaconazole 5% EC</v>
          </cell>
          <cell r="D32" t="str">
            <v>Convax EC</v>
          </cell>
          <cell r="E32" t="str">
            <v>1000 ML</v>
          </cell>
          <cell r="F32">
            <v>287</v>
          </cell>
          <cell r="G32">
            <v>18</v>
          </cell>
          <cell r="H32">
            <v>51.66</v>
          </cell>
          <cell r="I32">
            <v>338.65999999999997</v>
          </cell>
        </row>
        <row r="33">
          <cell r="B33" t="str">
            <v>Axis</v>
          </cell>
          <cell r="C33" t="str">
            <v>Hexaconazole 5% EC</v>
          </cell>
          <cell r="D33" t="str">
            <v>Convax EC</v>
          </cell>
          <cell r="E33" t="str">
            <v>5000 ML</v>
          </cell>
          <cell r="F33">
            <v>1410</v>
          </cell>
          <cell r="G33">
            <v>18</v>
          </cell>
          <cell r="H33">
            <v>253.79999999999998</v>
          </cell>
          <cell r="I33">
            <v>1663.8</v>
          </cell>
        </row>
        <row r="34">
          <cell r="B34" t="str">
            <v>Axis</v>
          </cell>
          <cell r="C34" t="str">
            <v>Hexaconazole 5% SC</v>
          </cell>
          <cell r="D34" t="str">
            <v>Convax Plus</v>
          </cell>
          <cell r="E34" t="str">
            <v>250 ML</v>
          </cell>
          <cell r="F34">
            <v>61.5</v>
          </cell>
          <cell r="G34">
            <v>18</v>
          </cell>
          <cell r="H34">
            <v>11.07</v>
          </cell>
          <cell r="I34">
            <v>72.569999999999993</v>
          </cell>
        </row>
        <row r="35">
          <cell r="B35" t="str">
            <v>Axis</v>
          </cell>
          <cell r="C35" t="str">
            <v>Hexaconazole 5% SC</v>
          </cell>
          <cell r="D35" t="str">
            <v>Convax Plus</v>
          </cell>
          <cell r="E35" t="str">
            <v>500 ML</v>
          </cell>
          <cell r="F35">
            <v>109</v>
          </cell>
          <cell r="G35">
            <v>18</v>
          </cell>
          <cell r="H35">
            <v>19.62</v>
          </cell>
          <cell r="I35">
            <v>128.62</v>
          </cell>
        </row>
        <row r="36">
          <cell r="B36" t="str">
            <v>Axis</v>
          </cell>
          <cell r="C36" t="str">
            <v>Hexaconazole 5% SC</v>
          </cell>
          <cell r="D36" t="str">
            <v>Convax Plus</v>
          </cell>
          <cell r="E36" t="str">
            <v>1000 ML</v>
          </cell>
          <cell r="F36">
            <v>205</v>
          </cell>
          <cell r="G36">
            <v>18</v>
          </cell>
          <cell r="H36">
            <v>36.9</v>
          </cell>
          <cell r="I36">
            <v>241.9</v>
          </cell>
        </row>
        <row r="37">
          <cell r="B37" t="str">
            <v>Axis</v>
          </cell>
          <cell r="C37" t="str">
            <v>Hexaconazole 5% SC</v>
          </cell>
          <cell r="D37" t="str">
            <v>Convax Plus</v>
          </cell>
          <cell r="E37" t="str">
            <v>5000 ML</v>
          </cell>
          <cell r="F37">
            <v>1000</v>
          </cell>
          <cell r="G37">
            <v>18</v>
          </cell>
          <cell r="H37">
            <v>180</v>
          </cell>
          <cell r="I37">
            <v>1180</v>
          </cell>
        </row>
        <row r="38">
          <cell r="B38" t="str">
            <v>Axis</v>
          </cell>
          <cell r="C38" t="str">
            <v>Ethion 40% + Cypermethrin 5% EC</v>
          </cell>
          <cell r="D38" t="str">
            <v xml:space="preserve">Ethax
</v>
          </cell>
          <cell r="E38" t="str">
            <v>500 ML</v>
          </cell>
          <cell r="F38">
            <v>289.5</v>
          </cell>
          <cell r="G38">
            <v>18</v>
          </cell>
          <cell r="H38">
            <v>52.11</v>
          </cell>
          <cell r="I38">
            <v>341.61</v>
          </cell>
        </row>
        <row r="39">
          <cell r="B39" t="str">
            <v>Axis</v>
          </cell>
          <cell r="C39" t="str">
            <v>Ethion 40% + Cypermethrin 5% EC</v>
          </cell>
          <cell r="D39" t="str">
            <v xml:space="preserve">Ethax
</v>
          </cell>
          <cell r="E39" t="str">
            <v>1000 ML</v>
          </cell>
          <cell r="F39">
            <v>564</v>
          </cell>
          <cell r="G39">
            <v>18</v>
          </cell>
          <cell r="H39">
            <v>101.52</v>
          </cell>
          <cell r="I39">
            <v>665.52</v>
          </cell>
        </row>
        <row r="40">
          <cell r="B40" t="str">
            <v>Axis</v>
          </cell>
          <cell r="C40" t="str">
            <v>Glufisonate Ammonium 13.5% SL</v>
          </cell>
          <cell r="D40" t="str">
            <v>Expower</v>
          </cell>
          <cell r="E40" t="str">
            <v>500 ML</v>
          </cell>
          <cell r="F40">
            <v>197.5</v>
          </cell>
          <cell r="G40">
            <v>18</v>
          </cell>
          <cell r="H40">
            <v>35.549999999999997</v>
          </cell>
          <cell r="I40">
            <v>233.05</v>
          </cell>
        </row>
        <row r="41">
          <cell r="B41" t="str">
            <v>Axis</v>
          </cell>
          <cell r="C41" t="str">
            <v>Glufisonate Ammonium 13.5% SL</v>
          </cell>
          <cell r="D41" t="str">
            <v>Expower</v>
          </cell>
          <cell r="E41" t="str">
            <v>1000 ML</v>
          </cell>
          <cell r="F41">
            <v>374</v>
          </cell>
          <cell r="G41">
            <v>18</v>
          </cell>
          <cell r="H41">
            <v>67.319999999999993</v>
          </cell>
          <cell r="I41">
            <v>441.32</v>
          </cell>
        </row>
        <row r="42">
          <cell r="B42" t="str">
            <v>Axis</v>
          </cell>
          <cell r="C42" t="str">
            <v>Glufisonate Ammonium 13.5% SL</v>
          </cell>
          <cell r="D42" t="str">
            <v>Expower</v>
          </cell>
          <cell r="E42" t="str">
            <v>5000 ML</v>
          </cell>
          <cell r="F42">
            <v>1845</v>
          </cell>
          <cell r="G42">
            <v>18</v>
          </cell>
          <cell r="H42">
            <v>332.09999999999997</v>
          </cell>
          <cell r="I42">
            <v>2177.1</v>
          </cell>
        </row>
        <row r="43">
          <cell r="B43" t="str">
            <v>Axis</v>
          </cell>
          <cell r="C43" t="str">
            <v>Thifluzamide 24% SL</v>
          </cell>
          <cell r="D43" t="str">
            <v>Fire</v>
          </cell>
          <cell r="E43" t="str">
            <v>150 ML</v>
          </cell>
          <cell r="F43">
            <v>269.25</v>
          </cell>
          <cell r="G43">
            <v>18</v>
          </cell>
          <cell r="H43">
            <v>48.464999999999996</v>
          </cell>
          <cell r="I43">
            <v>317.71499999999997</v>
          </cell>
        </row>
        <row r="44">
          <cell r="B44" t="str">
            <v>Axis</v>
          </cell>
          <cell r="C44" t="str">
            <v>Thifluzamide 24% SL</v>
          </cell>
          <cell r="D44" t="str">
            <v>Fire</v>
          </cell>
          <cell r="E44" t="str">
            <v>500 ML</v>
          </cell>
          <cell r="F44">
            <v>857</v>
          </cell>
          <cell r="G44">
            <v>18</v>
          </cell>
          <cell r="H44">
            <v>154.26</v>
          </cell>
          <cell r="I44">
            <v>1011.26</v>
          </cell>
        </row>
        <row r="45">
          <cell r="B45" t="str">
            <v>Axis</v>
          </cell>
          <cell r="C45" t="str">
            <v>Thifluzamide 24% SL</v>
          </cell>
          <cell r="D45" t="str">
            <v>Fire</v>
          </cell>
          <cell r="E45" t="str">
            <v>1000 ML</v>
          </cell>
          <cell r="F45">
            <v>1692</v>
          </cell>
          <cell r="G45">
            <v>18</v>
          </cell>
          <cell r="H45">
            <v>304.56</v>
          </cell>
          <cell r="I45">
            <v>1996.56</v>
          </cell>
        </row>
        <row r="46">
          <cell r="B46" t="str">
            <v>Axis</v>
          </cell>
          <cell r="C46" t="str">
            <v>Bifenthrin 10% EC</v>
          </cell>
          <cell r="D46" t="str">
            <v>Gangstar</v>
          </cell>
          <cell r="E46" t="str">
            <v>250 ML</v>
          </cell>
          <cell r="F46">
            <v>135.5</v>
          </cell>
          <cell r="G46">
            <v>18</v>
          </cell>
          <cell r="H46">
            <v>24.39</v>
          </cell>
          <cell r="I46">
            <v>159.88999999999999</v>
          </cell>
        </row>
        <row r="47">
          <cell r="B47" t="str">
            <v>Axis</v>
          </cell>
          <cell r="C47" t="str">
            <v>Bifenthrin 10% EC</v>
          </cell>
          <cell r="D47" t="str">
            <v>Gangstar</v>
          </cell>
          <cell r="E47" t="str">
            <v>500 ML</v>
          </cell>
          <cell r="F47">
            <v>252</v>
          </cell>
          <cell r="G47">
            <v>18</v>
          </cell>
          <cell r="H47">
            <v>45.36</v>
          </cell>
          <cell r="I47">
            <v>297.36</v>
          </cell>
        </row>
        <row r="48">
          <cell r="B48" t="str">
            <v>Axis</v>
          </cell>
          <cell r="C48" t="str">
            <v>Bifenthrin 10% EC</v>
          </cell>
          <cell r="D48" t="str">
            <v>Gangstar</v>
          </cell>
          <cell r="E48" t="str">
            <v>1000 ML</v>
          </cell>
          <cell r="F48">
            <v>480</v>
          </cell>
          <cell r="G48">
            <v>18</v>
          </cell>
          <cell r="H48">
            <v>86.399999999999991</v>
          </cell>
          <cell r="I48">
            <v>566.4</v>
          </cell>
        </row>
        <row r="49">
          <cell r="B49" t="str">
            <v>Axis</v>
          </cell>
          <cell r="C49" t="str">
            <v>Pyrazosulfuron Ethyl 10% WP</v>
          </cell>
          <cell r="D49" t="str">
            <v>Hero</v>
          </cell>
          <cell r="E49">
            <v>0</v>
          </cell>
          <cell r="F49">
            <v>0</v>
          </cell>
          <cell r="G49">
            <v>18</v>
          </cell>
          <cell r="H49">
            <v>0</v>
          </cell>
          <cell r="I49">
            <v>0</v>
          </cell>
        </row>
        <row r="50">
          <cell r="B50" t="str">
            <v>Axis</v>
          </cell>
          <cell r="C50" t="str">
            <v>Pyrazosulfuron Ethyl 10% WP</v>
          </cell>
          <cell r="D50" t="str">
            <v>Hero</v>
          </cell>
          <cell r="E50" t="str">
            <v>80 GMS</v>
          </cell>
          <cell r="F50">
            <v>72</v>
          </cell>
          <cell r="G50">
            <v>18</v>
          </cell>
          <cell r="H50">
            <v>12.959999999999999</v>
          </cell>
          <cell r="I50">
            <v>84.96</v>
          </cell>
        </row>
        <row r="51">
          <cell r="B51" t="str">
            <v>Axis</v>
          </cell>
          <cell r="C51" t="str">
            <v>Pyrazosulfuron Ethyl 10% WP</v>
          </cell>
          <cell r="D51" t="str">
            <v>Hero</v>
          </cell>
          <cell r="E51">
            <v>0</v>
          </cell>
          <cell r="F51">
            <v>0</v>
          </cell>
          <cell r="G51">
            <v>18</v>
          </cell>
          <cell r="H51">
            <v>0</v>
          </cell>
          <cell r="I51">
            <v>0</v>
          </cell>
        </row>
        <row r="52">
          <cell r="B52" t="str">
            <v>Axis</v>
          </cell>
          <cell r="C52" t="str">
            <v>Imidacloprid 17.8% SL</v>
          </cell>
          <cell r="D52" t="str">
            <v>Imax</v>
          </cell>
          <cell r="E52" t="str">
            <v>100 ML</v>
          </cell>
          <cell r="F52">
            <v>95.4</v>
          </cell>
          <cell r="G52">
            <v>18</v>
          </cell>
          <cell r="H52">
            <v>17.172000000000001</v>
          </cell>
          <cell r="I52">
            <v>112.572</v>
          </cell>
        </row>
        <row r="53">
          <cell r="B53" t="str">
            <v>Axis</v>
          </cell>
          <cell r="C53" t="str">
            <v>Imidacloprid 17.8% SL</v>
          </cell>
          <cell r="D53" t="str">
            <v>Imax</v>
          </cell>
          <cell r="E53" t="str">
            <v>250 ML</v>
          </cell>
          <cell r="F53">
            <v>212.75</v>
          </cell>
          <cell r="G53">
            <v>18</v>
          </cell>
          <cell r="H53">
            <v>38.295000000000002</v>
          </cell>
          <cell r="I53">
            <v>251.04500000000002</v>
          </cell>
        </row>
        <row r="54">
          <cell r="B54" t="str">
            <v>Axis</v>
          </cell>
          <cell r="C54" t="str">
            <v>Imidacloprid 17.8% SL</v>
          </cell>
          <cell r="D54" t="str">
            <v>Imax</v>
          </cell>
          <cell r="E54" t="str">
            <v>500 ML</v>
          </cell>
          <cell r="F54">
            <v>413</v>
          </cell>
          <cell r="G54">
            <v>18</v>
          </cell>
          <cell r="H54">
            <v>74.34</v>
          </cell>
          <cell r="I54">
            <v>487.34000000000003</v>
          </cell>
        </row>
        <row r="55">
          <cell r="B55" t="str">
            <v>Axis</v>
          </cell>
          <cell r="C55" t="str">
            <v>Imidacloprid 17.8% SL</v>
          </cell>
          <cell r="D55" t="str">
            <v>Imax</v>
          </cell>
          <cell r="E55" t="str">
            <v>1000 ML</v>
          </cell>
          <cell r="F55">
            <v>810</v>
          </cell>
          <cell r="G55">
            <v>18</v>
          </cell>
          <cell r="H55">
            <v>145.79999999999998</v>
          </cell>
          <cell r="I55">
            <v>955.8</v>
          </cell>
        </row>
        <row r="56">
          <cell r="B56" t="str">
            <v>Axis</v>
          </cell>
          <cell r="C56" t="str">
            <v xml:space="preserve">Imidacloprid 30.5% SC </v>
          </cell>
          <cell r="D56" t="str">
            <v>Imax Super</v>
          </cell>
          <cell r="E56" t="str">
            <v>250 ML</v>
          </cell>
          <cell r="F56">
            <v>246</v>
          </cell>
          <cell r="G56">
            <v>18</v>
          </cell>
          <cell r="H56">
            <v>44.28</v>
          </cell>
          <cell r="I56">
            <v>290.27999999999997</v>
          </cell>
        </row>
        <row r="57">
          <cell r="B57" t="str">
            <v>Axis</v>
          </cell>
          <cell r="C57" t="str">
            <v xml:space="preserve">Imidacloprid 30.5% SC </v>
          </cell>
          <cell r="D57" t="str">
            <v>Imax Super</v>
          </cell>
          <cell r="E57" t="str">
            <v>500 ML</v>
          </cell>
          <cell r="F57">
            <v>471.5</v>
          </cell>
          <cell r="G57">
            <v>18</v>
          </cell>
          <cell r="H57">
            <v>84.86999999999999</v>
          </cell>
          <cell r="I57">
            <v>556.37</v>
          </cell>
        </row>
        <row r="58">
          <cell r="B58" t="str">
            <v>Axis</v>
          </cell>
          <cell r="C58" t="str">
            <v xml:space="preserve">Imidacloprid 30.5% SC </v>
          </cell>
          <cell r="D58" t="str">
            <v>Imax Super</v>
          </cell>
          <cell r="E58" t="str">
            <v>1000 ML</v>
          </cell>
          <cell r="F58">
            <v>923</v>
          </cell>
          <cell r="G58">
            <v>18</v>
          </cell>
          <cell r="H58">
            <v>166.14</v>
          </cell>
          <cell r="I58">
            <v>1089.1399999999999</v>
          </cell>
        </row>
        <row r="59">
          <cell r="B59" t="str">
            <v>Axis</v>
          </cell>
          <cell r="C59" t="str">
            <v xml:space="preserve">Indoxacarb 14.5% SC </v>
          </cell>
          <cell r="D59" t="str">
            <v>Inox</v>
          </cell>
          <cell r="E59" t="str">
            <v>100 ML</v>
          </cell>
          <cell r="F59">
            <v>252.2</v>
          </cell>
          <cell r="G59">
            <v>18</v>
          </cell>
          <cell r="H59">
            <v>45.395999999999994</v>
          </cell>
          <cell r="I59">
            <v>297.596</v>
          </cell>
        </row>
        <row r="60">
          <cell r="B60" t="str">
            <v>Axis</v>
          </cell>
          <cell r="C60" t="str">
            <v xml:space="preserve">Indoxacarb 14.5% SC </v>
          </cell>
          <cell r="D60" t="str">
            <v>Inox</v>
          </cell>
          <cell r="E60" t="str">
            <v>250 ML</v>
          </cell>
          <cell r="F60">
            <v>606</v>
          </cell>
          <cell r="G60">
            <v>18</v>
          </cell>
          <cell r="H60">
            <v>109.08</v>
          </cell>
          <cell r="I60">
            <v>715.08</v>
          </cell>
        </row>
        <row r="61">
          <cell r="B61" t="str">
            <v>Axis</v>
          </cell>
          <cell r="C61" t="str">
            <v xml:space="preserve">Indoxacarb 14.5% SC </v>
          </cell>
          <cell r="D61" t="str">
            <v>Inox</v>
          </cell>
          <cell r="E61" t="str">
            <v>500 ML</v>
          </cell>
          <cell r="F61">
            <v>1194.5</v>
          </cell>
          <cell r="G61">
            <v>18</v>
          </cell>
          <cell r="H61">
            <v>215.01</v>
          </cell>
          <cell r="I61">
            <v>1409.51</v>
          </cell>
        </row>
        <row r="62">
          <cell r="B62" t="str">
            <v>Axis</v>
          </cell>
          <cell r="C62" t="str">
            <v xml:space="preserve">Indoxacarb 14.5% SC </v>
          </cell>
          <cell r="D62" t="str">
            <v>Inox</v>
          </cell>
          <cell r="E62" t="str">
            <v>1000 ML</v>
          </cell>
          <cell r="F62">
            <v>2358</v>
          </cell>
          <cell r="G62">
            <v>18</v>
          </cell>
          <cell r="H62">
            <v>424.44</v>
          </cell>
          <cell r="I62">
            <v>2782.44</v>
          </cell>
        </row>
        <row r="63">
          <cell r="B63" t="str">
            <v>Axis</v>
          </cell>
          <cell r="C63" t="str">
            <v>Myclobutanil 10% WP</v>
          </cell>
          <cell r="D63" t="str">
            <v>Instint</v>
          </cell>
          <cell r="E63" t="str">
            <v>100 GMS</v>
          </cell>
          <cell r="F63">
            <v>102.5</v>
          </cell>
          <cell r="G63">
            <v>18</v>
          </cell>
          <cell r="H63">
            <v>18.45</v>
          </cell>
          <cell r="I63">
            <v>120.95</v>
          </cell>
        </row>
        <row r="64">
          <cell r="B64" t="str">
            <v>Axis</v>
          </cell>
          <cell r="C64" t="str">
            <v>Myclobutanil 10% WP</v>
          </cell>
          <cell r="D64" t="str">
            <v>Instint</v>
          </cell>
          <cell r="E64" t="str">
            <v>250 GMS</v>
          </cell>
          <cell r="F64">
            <v>251.25</v>
          </cell>
          <cell r="G64">
            <v>18</v>
          </cell>
          <cell r="H64">
            <v>45.225000000000001</v>
          </cell>
          <cell r="I64">
            <v>296.47500000000002</v>
          </cell>
        </row>
        <row r="65">
          <cell r="B65" t="str">
            <v>Axis</v>
          </cell>
          <cell r="C65" t="str">
            <v>Myclobutanil 10% WP</v>
          </cell>
          <cell r="D65" t="str">
            <v>Instint</v>
          </cell>
          <cell r="E65" t="str">
            <v>500 GMS</v>
          </cell>
          <cell r="F65">
            <v>492</v>
          </cell>
          <cell r="G65">
            <v>18</v>
          </cell>
          <cell r="H65">
            <v>88.56</v>
          </cell>
          <cell r="I65">
            <v>580.55999999999995</v>
          </cell>
        </row>
        <row r="66">
          <cell r="B66" t="str">
            <v>Axis</v>
          </cell>
          <cell r="C66" t="str">
            <v>Pyriproxifen 10% + Bifenthrin 10% EC</v>
          </cell>
          <cell r="D66" t="str">
            <v>Jockey</v>
          </cell>
          <cell r="E66" t="str">
            <v>250 ML</v>
          </cell>
          <cell r="F66">
            <v>273.75</v>
          </cell>
          <cell r="G66">
            <v>18</v>
          </cell>
          <cell r="H66">
            <v>49.274999999999999</v>
          </cell>
          <cell r="I66">
            <v>323.02499999999998</v>
          </cell>
        </row>
        <row r="67">
          <cell r="B67" t="str">
            <v>Axis</v>
          </cell>
          <cell r="C67" t="str">
            <v>Pyriproxifen 10% + Bifenthrin 10% EC</v>
          </cell>
          <cell r="D67" t="str">
            <v>Jockey</v>
          </cell>
          <cell r="E67" t="str">
            <v>500 ML</v>
          </cell>
          <cell r="F67">
            <v>529.5</v>
          </cell>
          <cell r="G67">
            <v>18</v>
          </cell>
          <cell r="H67">
            <v>95.31</v>
          </cell>
          <cell r="I67">
            <v>624.80999999999995</v>
          </cell>
        </row>
        <row r="68">
          <cell r="B68" t="str">
            <v>Axis</v>
          </cell>
          <cell r="C68" t="str">
            <v>Pyriproxifen 10% + Bifenthrin 10% EC</v>
          </cell>
          <cell r="D68" t="str">
            <v>Jockey</v>
          </cell>
          <cell r="E68" t="str">
            <v>1000 ML</v>
          </cell>
          <cell r="F68">
            <v>1024</v>
          </cell>
          <cell r="G68">
            <v>18</v>
          </cell>
          <cell r="H68">
            <v>184.32</v>
          </cell>
          <cell r="I68">
            <v>1208.32</v>
          </cell>
        </row>
        <row r="69">
          <cell r="B69" t="str">
            <v>Axis</v>
          </cell>
          <cell r="C69" t="str">
            <v>Fipronil 80% WG</v>
          </cell>
          <cell r="D69" t="str">
            <v>Just</v>
          </cell>
          <cell r="E69" t="str">
            <v>40 GMS</v>
          </cell>
          <cell r="F69">
            <v>348.52</v>
          </cell>
          <cell r="G69">
            <v>18</v>
          </cell>
          <cell r="H69">
            <v>62.733599999999996</v>
          </cell>
          <cell r="I69">
            <v>411.25360000000001</v>
          </cell>
        </row>
        <row r="70">
          <cell r="B70" t="str">
            <v>Axis</v>
          </cell>
          <cell r="C70" t="str">
            <v>Fipronil 80% WG</v>
          </cell>
          <cell r="D70" t="str">
            <v>Just</v>
          </cell>
          <cell r="E70" t="str">
            <v>100 GMS</v>
          </cell>
          <cell r="F70">
            <v>820</v>
          </cell>
          <cell r="G70">
            <v>18</v>
          </cell>
          <cell r="H70">
            <v>147.6</v>
          </cell>
          <cell r="I70">
            <v>967.6</v>
          </cell>
        </row>
        <row r="71">
          <cell r="B71" t="str">
            <v>Axis</v>
          </cell>
          <cell r="C71" t="str">
            <v>Lambda Cyhalothrin 5% EC</v>
          </cell>
          <cell r="D71" t="str">
            <v xml:space="preserve">Lufax
</v>
          </cell>
          <cell r="E71" t="str">
            <v>500 ML</v>
          </cell>
          <cell r="F71">
            <v>174.5</v>
          </cell>
          <cell r="G71">
            <v>18</v>
          </cell>
          <cell r="H71">
            <v>31.41</v>
          </cell>
          <cell r="I71">
            <v>205.91</v>
          </cell>
        </row>
        <row r="72">
          <cell r="B72" t="str">
            <v>Axis</v>
          </cell>
          <cell r="C72" t="str">
            <v>Lambda Cyhalothrin 5% EC</v>
          </cell>
          <cell r="D72" t="str">
            <v xml:space="preserve">Lufax
</v>
          </cell>
          <cell r="E72" t="str">
            <v>1000 ML</v>
          </cell>
          <cell r="F72">
            <v>333</v>
          </cell>
          <cell r="G72">
            <v>18</v>
          </cell>
          <cell r="H72">
            <v>59.94</v>
          </cell>
          <cell r="I72">
            <v>392.94</v>
          </cell>
        </row>
        <row r="73">
          <cell r="B73" t="str">
            <v>Axis</v>
          </cell>
          <cell r="C73" t="str">
            <v>Carbendazim 12% + Mancozeb 63% WP</v>
          </cell>
          <cell r="D73" t="str">
            <v xml:space="preserve">Major
</v>
          </cell>
          <cell r="E73" t="str">
            <v>500 GMS</v>
          </cell>
          <cell r="F73">
            <v>228</v>
          </cell>
          <cell r="G73">
            <v>18</v>
          </cell>
          <cell r="H73">
            <v>41.04</v>
          </cell>
          <cell r="I73">
            <v>269.04000000000002</v>
          </cell>
        </row>
        <row r="74">
          <cell r="B74" t="str">
            <v>Axis</v>
          </cell>
          <cell r="C74" t="str">
            <v>Carbendazim 12% + Mancozeb 63% WP</v>
          </cell>
          <cell r="D74" t="str">
            <v xml:space="preserve">Major
</v>
          </cell>
          <cell r="E74" t="str">
            <v>1000 GMS</v>
          </cell>
          <cell r="F74">
            <v>436</v>
          </cell>
          <cell r="G74">
            <v>18</v>
          </cell>
          <cell r="H74">
            <v>78.48</v>
          </cell>
          <cell r="I74">
            <v>514.48</v>
          </cell>
        </row>
        <row r="75">
          <cell r="B75" t="str">
            <v>Axis</v>
          </cell>
          <cell r="C75" t="str">
            <v xml:space="preserve">Propineb 70% WP </v>
          </cell>
          <cell r="D75" t="str">
            <v>Magic</v>
          </cell>
          <cell r="E75" t="str">
            <v>500 GMS</v>
          </cell>
          <cell r="F75">
            <v>277</v>
          </cell>
          <cell r="G75">
            <v>18</v>
          </cell>
          <cell r="H75">
            <v>49.86</v>
          </cell>
          <cell r="I75">
            <v>326.86</v>
          </cell>
        </row>
        <row r="76">
          <cell r="B76" t="str">
            <v>Axis</v>
          </cell>
          <cell r="C76" t="str">
            <v xml:space="preserve">Propineb 70% WP </v>
          </cell>
          <cell r="D76" t="str">
            <v>Magic</v>
          </cell>
          <cell r="E76" t="str">
            <v>1000 GMS</v>
          </cell>
          <cell r="F76">
            <v>538</v>
          </cell>
          <cell r="G76">
            <v>18</v>
          </cell>
          <cell r="H76">
            <v>96.84</v>
          </cell>
          <cell r="I76">
            <v>634.84</v>
          </cell>
        </row>
        <row r="77">
          <cell r="B77" t="str">
            <v>Axis</v>
          </cell>
          <cell r="C77" t="str">
            <v>Thiamethoxam 30% FS</v>
          </cell>
          <cell r="D77" t="str">
            <v>Mito 30</v>
          </cell>
          <cell r="E77" t="str">
            <v>100 ML</v>
          </cell>
          <cell r="F77">
            <v>66.7</v>
          </cell>
          <cell r="G77">
            <v>18</v>
          </cell>
          <cell r="H77">
            <v>12.006</v>
          </cell>
          <cell r="I77">
            <v>78.706000000000003</v>
          </cell>
        </row>
        <row r="78">
          <cell r="B78" t="str">
            <v>Axis</v>
          </cell>
          <cell r="C78" t="str">
            <v>Thiamethoxam 30% FS</v>
          </cell>
          <cell r="D78" t="str">
            <v>Mito 30</v>
          </cell>
          <cell r="E78" t="str">
            <v>250 ML</v>
          </cell>
          <cell r="F78">
            <v>153.75</v>
          </cell>
          <cell r="G78">
            <v>18</v>
          </cell>
          <cell r="H78">
            <v>27.675000000000001</v>
          </cell>
          <cell r="I78">
            <v>181.42500000000001</v>
          </cell>
        </row>
        <row r="79">
          <cell r="B79" t="str">
            <v>Axis</v>
          </cell>
          <cell r="C79" t="str">
            <v>Thiamethoxam 30% FS</v>
          </cell>
          <cell r="D79" t="str">
            <v>Mito 30</v>
          </cell>
          <cell r="E79" t="str">
            <v>500 ML</v>
          </cell>
          <cell r="F79">
            <v>293.5</v>
          </cell>
          <cell r="G79">
            <v>18</v>
          </cell>
          <cell r="H79">
            <v>52.83</v>
          </cell>
          <cell r="I79">
            <v>346.33</v>
          </cell>
        </row>
        <row r="80">
          <cell r="B80" t="str">
            <v>Axis</v>
          </cell>
          <cell r="C80" t="str">
            <v>Thiamethoxam 30% FS</v>
          </cell>
          <cell r="D80" t="str">
            <v>Mito 30</v>
          </cell>
          <cell r="E80" t="str">
            <v>1000 ML</v>
          </cell>
          <cell r="F80">
            <v>574</v>
          </cell>
          <cell r="G80">
            <v>18</v>
          </cell>
          <cell r="H80">
            <v>103.32</v>
          </cell>
          <cell r="I80">
            <v>677.31999999999994</v>
          </cell>
        </row>
        <row r="81">
          <cell r="B81" t="str">
            <v>Axis</v>
          </cell>
          <cell r="C81" t="str">
            <v>Permethrin 25% EC</v>
          </cell>
          <cell r="D81" t="str">
            <v>Permax</v>
          </cell>
          <cell r="E81" t="str">
            <v>250 ML</v>
          </cell>
          <cell r="F81">
            <v>141</v>
          </cell>
          <cell r="G81">
            <v>18</v>
          </cell>
          <cell r="H81">
            <v>25.38</v>
          </cell>
          <cell r="I81">
            <v>166.38</v>
          </cell>
        </row>
        <row r="82">
          <cell r="B82" t="str">
            <v>Axis</v>
          </cell>
          <cell r="C82" t="str">
            <v>Permethrin 25% EC</v>
          </cell>
          <cell r="D82" t="str">
            <v>Permax</v>
          </cell>
          <cell r="E82" t="str">
            <v>500 ML</v>
          </cell>
          <cell r="F82">
            <v>261.5</v>
          </cell>
          <cell r="G82">
            <v>18</v>
          </cell>
          <cell r="H82">
            <v>47.07</v>
          </cell>
          <cell r="I82">
            <v>308.57</v>
          </cell>
        </row>
        <row r="83">
          <cell r="B83" t="str">
            <v>Axis</v>
          </cell>
          <cell r="C83" t="str">
            <v>Permethrin 25% EC</v>
          </cell>
          <cell r="D83" t="str">
            <v>Permax</v>
          </cell>
          <cell r="E83" t="str">
            <v>1000 ML</v>
          </cell>
          <cell r="F83">
            <v>492</v>
          </cell>
          <cell r="G83">
            <v>18</v>
          </cell>
          <cell r="H83">
            <v>88.56</v>
          </cell>
          <cell r="I83">
            <v>580.55999999999995</v>
          </cell>
        </row>
        <row r="84">
          <cell r="B84" t="str">
            <v>Axis</v>
          </cell>
          <cell r="C84" t="str">
            <v>Pendimethalin 38.7% CS</v>
          </cell>
          <cell r="D84" t="str">
            <v>Pendant Extra</v>
          </cell>
          <cell r="E84" t="str">
            <v>350 ML</v>
          </cell>
          <cell r="F84">
            <v>174.3</v>
          </cell>
          <cell r="G84">
            <v>18</v>
          </cell>
          <cell r="H84">
            <v>31.374000000000002</v>
          </cell>
          <cell r="I84">
            <v>205.67400000000001</v>
          </cell>
        </row>
        <row r="85">
          <cell r="B85" t="str">
            <v>Axis</v>
          </cell>
          <cell r="C85" t="str">
            <v>Pendimethalin 38.7% CS</v>
          </cell>
          <cell r="D85" t="str">
            <v>Pendant Extra</v>
          </cell>
          <cell r="E85" t="str">
            <v>700 ML</v>
          </cell>
          <cell r="F85">
            <v>328.3</v>
          </cell>
          <cell r="G85">
            <v>18</v>
          </cell>
          <cell r="H85">
            <v>59.094000000000001</v>
          </cell>
          <cell r="I85">
            <v>387.39400000000001</v>
          </cell>
        </row>
        <row r="86">
          <cell r="B86" t="str">
            <v>Axis</v>
          </cell>
          <cell r="C86" t="str">
            <v>Novaluron 5.25% + Indoxacarb 4.5% SC</v>
          </cell>
          <cell r="D86" t="str">
            <v>Plithox</v>
          </cell>
          <cell r="E86" t="str">
            <v>100 ML</v>
          </cell>
          <cell r="F86">
            <v>199.9</v>
          </cell>
          <cell r="G86">
            <v>18</v>
          </cell>
          <cell r="H86">
            <v>35.981999999999999</v>
          </cell>
          <cell r="I86">
            <v>235.88200000000001</v>
          </cell>
        </row>
        <row r="87">
          <cell r="B87" t="str">
            <v>Axis</v>
          </cell>
          <cell r="C87" t="str">
            <v>Novaluron 5.25% + Indoxacarb 4.5% SC</v>
          </cell>
          <cell r="D87" t="str">
            <v>Plithox</v>
          </cell>
          <cell r="E87" t="str">
            <v>250 ML</v>
          </cell>
          <cell r="F87">
            <v>494.75</v>
          </cell>
          <cell r="G87">
            <v>18</v>
          </cell>
          <cell r="H87">
            <v>89.054999999999993</v>
          </cell>
          <cell r="I87">
            <v>583.80499999999995</v>
          </cell>
        </row>
        <row r="88">
          <cell r="B88" t="str">
            <v>Axis</v>
          </cell>
          <cell r="C88" t="str">
            <v>Novaluron 5.25% + Indoxacarb 4.5% SC</v>
          </cell>
          <cell r="D88" t="str">
            <v>Plithox</v>
          </cell>
          <cell r="E88" t="str">
            <v>500 ML</v>
          </cell>
          <cell r="F88">
            <v>971.5</v>
          </cell>
          <cell r="G88">
            <v>18</v>
          </cell>
          <cell r="H88">
            <v>174.87</v>
          </cell>
          <cell r="I88">
            <v>1146.3699999999999</v>
          </cell>
        </row>
        <row r="89">
          <cell r="B89" t="str">
            <v>Axis</v>
          </cell>
          <cell r="C89" t="str">
            <v>Novaluron 5.25% + Indoxacarb 4.5% SC</v>
          </cell>
          <cell r="D89" t="str">
            <v>Plithox</v>
          </cell>
          <cell r="E89" t="str">
            <v>1000 ML</v>
          </cell>
          <cell r="F89">
            <v>1917</v>
          </cell>
          <cell r="G89">
            <v>18</v>
          </cell>
          <cell r="H89">
            <v>345.06</v>
          </cell>
          <cell r="I89">
            <v>2262.06</v>
          </cell>
        </row>
        <row r="90">
          <cell r="B90" t="str">
            <v>Axis</v>
          </cell>
          <cell r="C90" t="str">
            <v>Diafenthiuron 50% WP</v>
          </cell>
          <cell r="D90" t="str">
            <v>Pony</v>
          </cell>
          <cell r="E90" t="str">
            <v>25 GMS</v>
          </cell>
          <cell r="F90">
            <v>326.5</v>
          </cell>
          <cell r="G90">
            <v>18</v>
          </cell>
          <cell r="H90">
            <v>58.769999999999996</v>
          </cell>
          <cell r="I90">
            <v>385.27</v>
          </cell>
        </row>
        <row r="91">
          <cell r="B91" t="str">
            <v>Axis</v>
          </cell>
          <cell r="C91" t="str">
            <v>Pretilachlor 50% EC</v>
          </cell>
          <cell r="D91" t="str">
            <v>Pretax</v>
          </cell>
          <cell r="E91" t="str">
            <v>500 ML</v>
          </cell>
          <cell r="F91">
            <v>175.5</v>
          </cell>
          <cell r="G91">
            <v>18</v>
          </cell>
          <cell r="H91">
            <v>31.59</v>
          </cell>
          <cell r="I91">
            <v>207.09</v>
          </cell>
        </row>
        <row r="92">
          <cell r="B92" t="str">
            <v>Axis</v>
          </cell>
          <cell r="C92" t="str">
            <v>Pretilachlor 50% EC</v>
          </cell>
          <cell r="D92" t="str">
            <v>Pretax</v>
          </cell>
          <cell r="E92" t="str">
            <v>1000 ML</v>
          </cell>
          <cell r="F92">
            <v>339</v>
          </cell>
          <cell r="G92">
            <v>18</v>
          </cell>
          <cell r="H92">
            <v>61.019999999999996</v>
          </cell>
          <cell r="I92">
            <v>400.02</v>
          </cell>
        </row>
        <row r="93">
          <cell r="B93" t="str">
            <v>Axis</v>
          </cell>
          <cell r="C93" t="str">
            <v>Profenophos 40% + Cypermethrin 4% EC</v>
          </cell>
          <cell r="D93" t="str">
            <v>Proxy Plus</v>
          </cell>
          <cell r="E93" t="str">
            <v>500 ML</v>
          </cell>
          <cell r="F93">
            <v>261.5</v>
          </cell>
          <cell r="G93">
            <v>18</v>
          </cell>
          <cell r="H93">
            <v>47.07</v>
          </cell>
          <cell r="I93">
            <v>308.57</v>
          </cell>
        </row>
        <row r="94">
          <cell r="B94" t="str">
            <v>Axis</v>
          </cell>
          <cell r="C94" t="str">
            <v>Profenophos 40% + Cypermethrin 4% EC</v>
          </cell>
          <cell r="D94" t="str">
            <v>Proxy Plus</v>
          </cell>
          <cell r="E94" t="str">
            <v>1000 ML</v>
          </cell>
          <cell r="F94">
            <v>508</v>
          </cell>
          <cell r="G94">
            <v>18</v>
          </cell>
          <cell r="H94">
            <v>91.44</v>
          </cell>
          <cell r="I94">
            <v>599.44000000000005</v>
          </cell>
        </row>
        <row r="95">
          <cell r="B95" t="str">
            <v>Axis</v>
          </cell>
          <cell r="C95" t="str">
            <v>Chlorpyrifos 50% EC</v>
          </cell>
          <cell r="D95" t="str">
            <v>Pyrax Super</v>
          </cell>
          <cell r="E95" t="str">
            <v>500 ML</v>
          </cell>
          <cell r="F95">
            <v>261.5</v>
          </cell>
          <cell r="G95">
            <v>18</v>
          </cell>
          <cell r="H95">
            <v>47.07</v>
          </cell>
          <cell r="I95">
            <v>308.57</v>
          </cell>
        </row>
        <row r="96">
          <cell r="B96" t="str">
            <v>Axis</v>
          </cell>
          <cell r="C96" t="str">
            <v>Chlorpyrifos 50% EC</v>
          </cell>
          <cell r="D96" t="str">
            <v>Pyrax Super</v>
          </cell>
          <cell r="E96" t="str">
            <v>1000 ML</v>
          </cell>
          <cell r="F96">
            <v>508</v>
          </cell>
          <cell r="G96">
            <v>18</v>
          </cell>
          <cell r="H96">
            <v>91.44</v>
          </cell>
          <cell r="I96">
            <v>599.44000000000005</v>
          </cell>
        </row>
        <row r="97">
          <cell r="B97" t="str">
            <v>Axis</v>
          </cell>
          <cell r="C97" t="str">
            <v>Fipronil 5% SC</v>
          </cell>
          <cell r="D97" t="str">
            <v>Rexint</v>
          </cell>
          <cell r="E97" t="str">
            <v>250 ML</v>
          </cell>
          <cell r="F97">
            <v>146.25</v>
          </cell>
          <cell r="G97">
            <v>18</v>
          </cell>
          <cell r="H97">
            <v>26.324999999999999</v>
          </cell>
          <cell r="I97">
            <v>172.57499999999999</v>
          </cell>
        </row>
        <row r="98">
          <cell r="B98" t="str">
            <v>Axis</v>
          </cell>
          <cell r="C98" t="str">
            <v>Fipronil 5% SC</v>
          </cell>
          <cell r="D98" t="str">
            <v>Rexint</v>
          </cell>
          <cell r="E98" t="str">
            <v>500 ML</v>
          </cell>
          <cell r="F98">
            <v>279.5</v>
          </cell>
          <cell r="G98">
            <v>18</v>
          </cell>
          <cell r="H98">
            <v>50.309999999999995</v>
          </cell>
          <cell r="I98">
            <v>329.81</v>
          </cell>
        </row>
        <row r="99">
          <cell r="B99" t="str">
            <v>Axis</v>
          </cell>
          <cell r="C99" t="str">
            <v>Fipronil 5% SC</v>
          </cell>
          <cell r="D99" t="str">
            <v>Rexint</v>
          </cell>
          <cell r="E99" t="str">
            <v>1000 ML</v>
          </cell>
          <cell r="F99">
            <v>544</v>
          </cell>
          <cell r="G99">
            <v>18</v>
          </cell>
          <cell r="H99">
            <v>97.92</v>
          </cell>
          <cell r="I99">
            <v>641.91999999999996</v>
          </cell>
        </row>
        <row r="100">
          <cell r="B100" t="str">
            <v>Axis</v>
          </cell>
          <cell r="C100" t="str">
            <v>Thiamethoxam 4% + Fipronil 4% SC</v>
          </cell>
          <cell r="D100" t="str">
            <v xml:space="preserve">Shark
</v>
          </cell>
          <cell r="E100" t="str">
            <v>250 ML</v>
          </cell>
          <cell r="F100">
            <v>192.25</v>
          </cell>
          <cell r="G100">
            <v>18</v>
          </cell>
          <cell r="H100">
            <v>34.604999999999997</v>
          </cell>
          <cell r="I100">
            <v>226.85499999999999</v>
          </cell>
        </row>
        <row r="101">
          <cell r="B101" t="str">
            <v>Axis</v>
          </cell>
          <cell r="C101" t="str">
            <v>Thiamethoxam 4% + Fipronil 4% SC</v>
          </cell>
          <cell r="D101" t="str">
            <v xml:space="preserve">Shark
</v>
          </cell>
          <cell r="E101" t="str">
            <v>500 ML</v>
          </cell>
          <cell r="F101">
            <v>369</v>
          </cell>
          <cell r="G101">
            <v>18</v>
          </cell>
          <cell r="H101">
            <v>66.42</v>
          </cell>
          <cell r="I101">
            <v>435.42</v>
          </cell>
        </row>
        <row r="102">
          <cell r="B102" t="str">
            <v>Axis</v>
          </cell>
          <cell r="C102" t="str">
            <v>Thiamethoxam 4% + Fipronil 4% SC</v>
          </cell>
          <cell r="D102" t="str">
            <v xml:space="preserve">Shark
</v>
          </cell>
          <cell r="E102" t="str">
            <v>1000 ML</v>
          </cell>
          <cell r="F102">
            <v>718</v>
          </cell>
          <cell r="G102">
            <v>18</v>
          </cell>
          <cell r="H102">
            <v>129.24</v>
          </cell>
          <cell r="I102">
            <v>847.24</v>
          </cell>
        </row>
        <row r="103">
          <cell r="B103" t="str">
            <v>Axis</v>
          </cell>
          <cell r="C103" t="str">
            <v>Fipronil 40% + Imidacloprid 40% WP</v>
          </cell>
          <cell r="D103" t="str">
            <v xml:space="preserve">Shoot
</v>
          </cell>
          <cell r="E103" t="str">
            <v>40 GMS</v>
          </cell>
          <cell r="F103">
            <v>197.24</v>
          </cell>
          <cell r="G103">
            <v>18</v>
          </cell>
          <cell r="H103">
            <v>35.5032</v>
          </cell>
          <cell r="I103">
            <v>232.7432</v>
          </cell>
        </row>
        <row r="104">
          <cell r="B104" t="str">
            <v>Axis</v>
          </cell>
          <cell r="C104" t="str">
            <v>Fipronil 40% + Imidacloprid 40% WP</v>
          </cell>
          <cell r="D104" t="str">
            <v xml:space="preserve">Shoot
</v>
          </cell>
          <cell r="E104" t="str">
            <v>100 GMS</v>
          </cell>
          <cell r="F104">
            <v>477.7</v>
          </cell>
          <cell r="G104">
            <v>18</v>
          </cell>
          <cell r="H104">
            <v>85.98599999999999</v>
          </cell>
          <cell r="I104">
            <v>563.68599999999992</v>
          </cell>
        </row>
        <row r="105">
          <cell r="B105" t="str">
            <v>Axis</v>
          </cell>
          <cell r="C105" t="str">
            <v>Azoxystrobin 11% EW + Tebuconazole 18.3% SC</v>
          </cell>
          <cell r="D105" t="str">
            <v xml:space="preserve">Texas
</v>
          </cell>
          <cell r="E105" t="str">
            <v>100 ML</v>
          </cell>
          <cell r="F105">
            <v>102.5</v>
          </cell>
          <cell r="G105">
            <v>18</v>
          </cell>
          <cell r="H105">
            <v>18.45</v>
          </cell>
          <cell r="I105">
            <v>120.95</v>
          </cell>
        </row>
        <row r="106">
          <cell r="B106" t="str">
            <v>Axis</v>
          </cell>
          <cell r="C106" t="str">
            <v>Azoxystrobin 11% EW + Tebuconazole 18.3% SC</v>
          </cell>
          <cell r="D106" t="str">
            <v xml:space="preserve">Texas
</v>
          </cell>
          <cell r="E106" t="str">
            <v>250 ML</v>
          </cell>
          <cell r="F106">
            <v>224.25</v>
          </cell>
          <cell r="G106">
            <v>18</v>
          </cell>
          <cell r="H106">
            <v>40.365000000000002</v>
          </cell>
          <cell r="I106">
            <v>264.61500000000001</v>
          </cell>
        </row>
        <row r="107">
          <cell r="B107" t="str">
            <v>Axis</v>
          </cell>
          <cell r="C107" t="str">
            <v>Azoxystrobin 11% EW + Tebuconazole 18.3% SC</v>
          </cell>
          <cell r="D107" t="str">
            <v xml:space="preserve">Texas
</v>
          </cell>
          <cell r="E107" t="str">
            <v>500 ML</v>
          </cell>
          <cell r="F107">
            <v>443.5</v>
          </cell>
          <cell r="G107">
            <v>18</v>
          </cell>
          <cell r="H107">
            <v>79.83</v>
          </cell>
          <cell r="I107">
            <v>523.33000000000004</v>
          </cell>
        </row>
        <row r="108">
          <cell r="B108" t="str">
            <v>Axis</v>
          </cell>
          <cell r="C108" t="str">
            <v>Azoxystrobin 11% EW + Tebuconazole 18.3% SC</v>
          </cell>
          <cell r="D108" t="str">
            <v xml:space="preserve">Texas
</v>
          </cell>
          <cell r="E108" t="str">
            <v>1000 ML</v>
          </cell>
          <cell r="F108">
            <v>872</v>
          </cell>
          <cell r="G108">
            <v>18</v>
          </cell>
          <cell r="H108">
            <v>156.96</v>
          </cell>
          <cell r="I108">
            <v>1028.96</v>
          </cell>
        </row>
        <row r="109">
          <cell r="B109" t="str">
            <v>Axis</v>
          </cell>
          <cell r="C109" t="str">
            <v>Azoxystrobin 18.2% + Difenconazole 11.4% SC</v>
          </cell>
          <cell r="D109" t="str">
            <v>Texas Top</v>
          </cell>
          <cell r="E109" t="str">
            <v>200 ML</v>
          </cell>
          <cell r="F109">
            <v>394.75</v>
          </cell>
          <cell r="G109">
            <v>18</v>
          </cell>
          <cell r="H109">
            <v>71.054999999999993</v>
          </cell>
          <cell r="I109">
            <v>465.80500000000001</v>
          </cell>
        </row>
        <row r="110">
          <cell r="B110" t="str">
            <v>Axis</v>
          </cell>
          <cell r="C110" t="str">
            <v>Azoxystrobin 18.2% + Difenconazole 11.4% SC</v>
          </cell>
          <cell r="D110" t="str">
            <v>Texas Top</v>
          </cell>
          <cell r="E110" t="str">
            <v>500 ML</v>
          </cell>
          <cell r="F110">
            <v>779</v>
          </cell>
          <cell r="G110">
            <v>18</v>
          </cell>
          <cell r="H110">
            <v>140.22</v>
          </cell>
          <cell r="I110">
            <v>919.22</v>
          </cell>
        </row>
        <row r="111">
          <cell r="B111" t="str">
            <v>Axis</v>
          </cell>
          <cell r="C111" t="str">
            <v>Azoxystrobin 18.2% + Difenconazole 11.4% SC</v>
          </cell>
          <cell r="D111" t="str">
            <v>Texas Top</v>
          </cell>
          <cell r="E111" t="str">
            <v>1000 ML</v>
          </cell>
          <cell r="F111">
            <v>1538</v>
          </cell>
          <cell r="G111">
            <v>18</v>
          </cell>
          <cell r="H111">
            <v>276.83999999999997</v>
          </cell>
          <cell r="I111">
            <v>1814.84</v>
          </cell>
        </row>
        <row r="112">
          <cell r="B112" t="str">
            <v>Axis</v>
          </cell>
          <cell r="C112" t="str">
            <v>Deltamethrin 11% EC</v>
          </cell>
          <cell r="D112" t="str">
            <v xml:space="preserve">Tempo
</v>
          </cell>
          <cell r="E112" t="str">
            <v>100 ML</v>
          </cell>
          <cell r="F112">
            <v>124</v>
          </cell>
          <cell r="G112">
            <v>18</v>
          </cell>
          <cell r="H112">
            <v>22.32</v>
          </cell>
          <cell r="I112">
            <v>146.32</v>
          </cell>
        </row>
        <row r="113">
          <cell r="B113" t="str">
            <v>Axis</v>
          </cell>
          <cell r="C113" t="str">
            <v>Deltamethrin 11% EC</v>
          </cell>
          <cell r="D113" t="str">
            <v xml:space="preserve">Tempo
</v>
          </cell>
          <cell r="E113" t="str">
            <v>250 ML</v>
          </cell>
          <cell r="F113">
            <v>284.5</v>
          </cell>
          <cell r="G113">
            <v>18</v>
          </cell>
          <cell r="H113">
            <v>51.21</v>
          </cell>
          <cell r="I113">
            <v>335.71</v>
          </cell>
        </row>
        <row r="114">
          <cell r="B114" t="str">
            <v>Axis</v>
          </cell>
          <cell r="C114" t="str">
            <v>Deltamethrin 11% EC</v>
          </cell>
          <cell r="D114" t="str">
            <v xml:space="preserve">Tempo
</v>
          </cell>
          <cell r="E114" t="str">
            <v>500 ML</v>
          </cell>
          <cell r="F114">
            <v>553.5</v>
          </cell>
          <cell r="G114">
            <v>18</v>
          </cell>
          <cell r="H114">
            <v>99.63</v>
          </cell>
          <cell r="I114">
            <v>653.13</v>
          </cell>
        </row>
        <row r="115">
          <cell r="B115" t="str">
            <v>Axis</v>
          </cell>
          <cell r="C115" t="str">
            <v>Deltamethrin 11% EC</v>
          </cell>
          <cell r="D115" t="str">
            <v xml:space="preserve">Tempo
</v>
          </cell>
          <cell r="E115" t="str">
            <v>1000 ML</v>
          </cell>
          <cell r="F115">
            <v>1076</v>
          </cell>
          <cell r="G115">
            <v>18</v>
          </cell>
          <cell r="H115">
            <v>193.68</v>
          </cell>
          <cell r="I115">
            <v>1269.68</v>
          </cell>
        </row>
        <row r="116">
          <cell r="B116" t="str">
            <v>Axis</v>
          </cell>
          <cell r="C116" t="str">
            <v>Thiamethoxam 25% WG</v>
          </cell>
          <cell r="D116" t="str">
            <v>Thimax</v>
          </cell>
          <cell r="E116" t="str">
            <v>100 GMS</v>
          </cell>
          <cell r="F116">
            <v>63.6</v>
          </cell>
          <cell r="G116">
            <v>18</v>
          </cell>
          <cell r="H116">
            <v>11.448</v>
          </cell>
          <cell r="I116">
            <v>75.048000000000002</v>
          </cell>
        </row>
        <row r="117">
          <cell r="B117" t="str">
            <v>Axis</v>
          </cell>
          <cell r="C117" t="str">
            <v>Thiamethoxam 25% WG</v>
          </cell>
          <cell r="D117" t="str">
            <v>Thimax</v>
          </cell>
          <cell r="E117" t="str">
            <v>250 GMS</v>
          </cell>
          <cell r="F117">
            <v>128.75</v>
          </cell>
          <cell r="G117">
            <v>18</v>
          </cell>
          <cell r="H117">
            <v>23.175000000000001</v>
          </cell>
          <cell r="I117">
            <v>151.92500000000001</v>
          </cell>
        </row>
        <row r="118">
          <cell r="B118" t="str">
            <v>Axis</v>
          </cell>
          <cell r="C118" t="str">
            <v>Thiamethoxam 25% WG</v>
          </cell>
          <cell r="D118" t="str">
            <v>Thimax</v>
          </cell>
          <cell r="E118" t="str">
            <v>500 GMS</v>
          </cell>
          <cell r="F118">
            <v>237</v>
          </cell>
          <cell r="G118">
            <v>18</v>
          </cell>
          <cell r="H118">
            <v>42.66</v>
          </cell>
          <cell r="I118">
            <v>279.65999999999997</v>
          </cell>
        </row>
        <row r="119">
          <cell r="B119" t="str">
            <v>Axis</v>
          </cell>
          <cell r="C119" t="str">
            <v>Thiamethoxam 25% WG</v>
          </cell>
          <cell r="D119" t="str">
            <v>Thimax</v>
          </cell>
          <cell r="E119" t="str">
            <v>1000 GMS</v>
          </cell>
          <cell r="F119">
            <v>462</v>
          </cell>
          <cell r="G119">
            <v>18</v>
          </cell>
          <cell r="H119">
            <v>83.16</v>
          </cell>
          <cell r="I119">
            <v>545.16</v>
          </cell>
        </row>
        <row r="120">
          <cell r="B120" t="str">
            <v>Axis</v>
          </cell>
          <cell r="C120" t="str">
            <v>Thiamethoxam 12.6% + Lambda Cyhalothrin 9.5% ZC</v>
          </cell>
          <cell r="D120" t="str">
            <v>Tiger</v>
          </cell>
          <cell r="E120" t="str">
            <v>80 ML</v>
          </cell>
          <cell r="F120">
            <v>125.52</v>
          </cell>
          <cell r="G120">
            <v>18</v>
          </cell>
          <cell r="H120">
            <v>22.593599999999999</v>
          </cell>
          <cell r="I120">
            <v>148.11359999999999</v>
          </cell>
        </row>
        <row r="121">
          <cell r="B121" t="str">
            <v>Axis</v>
          </cell>
          <cell r="C121" t="str">
            <v>Thiamethoxam 12.6% + Lambda Cyhalothrin 9.5% ZC</v>
          </cell>
          <cell r="D121" t="str">
            <v>Tiger</v>
          </cell>
          <cell r="E121" t="str">
            <v>200 ML</v>
          </cell>
          <cell r="F121">
            <v>307.60000000000002</v>
          </cell>
          <cell r="G121">
            <v>18</v>
          </cell>
          <cell r="H121">
            <v>55.368000000000002</v>
          </cell>
          <cell r="I121">
            <v>362.96800000000002</v>
          </cell>
        </row>
        <row r="122">
          <cell r="B122" t="str">
            <v>Axis</v>
          </cell>
          <cell r="C122" t="str">
            <v>Thiamethoxam 75% SG</v>
          </cell>
          <cell r="D122" t="str">
            <v xml:space="preserve">Tyson
</v>
          </cell>
          <cell r="E122" t="str">
            <v>50 GMS</v>
          </cell>
          <cell r="F122">
            <v>99.95</v>
          </cell>
          <cell r="G122">
            <v>18</v>
          </cell>
          <cell r="H122">
            <v>17.991</v>
          </cell>
          <cell r="I122">
            <v>117.941</v>
          </cell>
        </row>
        <row r="123">
          <cell r="B123" t="str">
            <v>Axis</v>
          </cell>
          <cell r="C123" t="str">
            <v>Thiamethoxam 75% SG</v>
          </cell>
          <cell r="D123" t="str">
            <v xml:space="preserve">Tyson
</v>
          </cell>
          <cell r="E123" t="str">
            <v>125 GMS</v>
          </cell>
          <cell r="F123">
            <v>229.38</v>
          </cell>
          <cell r="G123">
            <v>18</v>
          </cell>
          <cell r="H123">
            <v>41.288399999999996</v>
          </cell>
          <cell r="I123">
            <v>270.66840000000002</v>
          </cell>
        </row>
        <row r="124">
          <cell r="B124" t="str">
            <v>Axis</v>
          </cell>
          <cell r="C124" t="str">
            <v>Thiamethoxam 75% SG</v>
          </cell>
          <cell r="D124" t="str">
            <v xml:space="preserve">Tyson
</v>
          </cell>
          <cell r="E124" t="str">
            <v>250 GMS</v>
          </cell>
          <cell r="F124">
            <v>440.75</v>
          </cell>
          <cell r="G124">
            <v>18</v>
          </cell>
          <cell r="H124">
            <v>79.334999999999994</v>
          </cell>
          <cell r="I124">
            <v>520.08500000000004</v>
          </cell>
        </row>
        <row r="125">
          <cell r="B125" t="str">
            <v>Axis</v>
          </cell>
          <cell r="C125" t="str">
            <v>Natural Product</v>
          </cell>
          <cell r="D125" t="str">
            <v>Hyper</v>
          </cell>
          <cell r="E125" t="str">
            <v>250 ML</v>
          </cell>
          <cell r="F125">
            <v>69.25</v>
          </cell>
          <cell r="G125">
            <v>5</v>
          </cell>
          <cell r="H125">
            <v>3.4625000000000004</v>
          </cell>
          <cell r="I125">
            <v>72.712500000000006</v>
          </cell>
        </row>
        <row r="126">
          <cell r="B126" t="str">
            <v>Axis</v>
          </cell>
          <cell r="C126" t="str">
            <v>Natural Product</v>
          </cell>
          <cell r="D126" t="str">
            <v>Hyper</v>
          </cell>
          <cell r="E126" t="str">
            <v>500 ML</v>
          </cell>
          <cell r="F126">
            <v>128.5</v>
          </cell>
          <cell r="G126">
            <v>5</v>
          </cell>
          <cell r="H126">
            <v>6.4250000000000007</v>
          </cell>
          <cell r="I126">
            <v>134.92500000000001</v>
          </cell>
        </row>
        <row r="127">
          <cell r="B127" t="str">
            <v>Axis</v>
          </cell>
          <cell r="C127" t="str">
            <v>Natural Product</v>
          </cell>
          <cell r="D127" t="str">
            <v>Hyper</v>
          </cell>
          <cell r="E127" t="str">
            <v>1000 ML</v>
          </cell>
          <cell r="F127">
            <v>236</v>
          </cell>
          <cell r="G127">
            <v>5</v>
          </cell>
          <cell r="H127">
            <v>11.8</v>
          </cell>
          <cell r="I127">
            <v>247.8</v>
          </cell>
        </row>
        <row r="128">
          <cell r="B128" t="str">
            <v>Axis</v>
          </cell>
          <cell r="C128" t="str">
            <v>See Weed Extract</v>
          </cell>
          <cell r="D128" t="str">
            <v>Nano GR</v>
          </cell>
          <cell r="E128" t="str">
            <v>10000 GMS</v>
          </cell>
          <cell r="F128">
            <v>520</v>
          </cell>
          <cell r="G128">
            <v>5</v>
          </cell>
          <cell r="H128">
            <v>26</v>
          </cell>
          <cell r="I128">
            <v>546</v>
          </cell>
        </row>
        <row r="129">
          <cell r="B129" t="str">
            <v>Axis</v>
          </cell>
          <cell r="C129" t="str">
            <v>See Weed Extract</v>
          </cell>
          <cell r="D129" t="str">
            <v>Nano GR</v>
          </cell>
          <cell r="E129" t="str">
            <v>50000 GMS</v>
          </cell>
          <cell r="F129">
            <v>3100</v>
          </cell>
          <cell r="G129">
            <v>5</v>
          </cell>
          <cell r="H129">
            <v>155</v>
          </cell>
          <cell r="I129">
            <v>3255</v>
          </cell>
        </row>
        <row r="130">
          <cell r="B130" t="str">
            <v>Axis</v>
          </cell>
          <cell r="C130" t="str">
            <v>Soil Supplement</v>
          </cell>
          <cell r="D130" t="str">
            <v>Triveni</v>
          </cell>
          <cell r="E130" t="str">
            <v>100 ML</v>
          </cell>
          <cell r="F130">
            <v>32.799999999999997</v>
          </cell>
          <cell r="G130">
            <v>5</v>
          </cell>
          <cell r="H130">
            <v>1.64</v>
          </cell>
          <cell r="I130">
            <v>34.44</v>
          </cell>
        </row>
        <row r="131">
          <cell r="B131" t="str">
            <v>Axis</v>
          </cell>
          <cell r="C131" t="str">
            <v>Soil Supplement</v>
          </cell>
          <cell r="D131" t="str">
            <v>Triveni</v>
          </cell>
          <cell r="E131" t="str">
            <v>250 ML</v>
          </cell>
          <cell r="F131">
            <v>66.75</v>
          </cell>
          <cell r="G131">
            <v>5</v>
          </cell>
          <cell r="H131">
            <v>3.3375000000000004</v>
          </cell>
          <cell r="I131">
            <v>70.087500000000006</v>
          </cell>
        </row>
        <row r="132">
          <cell r="B132" t="str">
            <v>Axis</v>
          </cell>
          <cell r="C132" t="str">
            <v>Soil Supplement</v>
          </cell>
          <cell r="D132" t="str">
            <v>Triveni</v>
          </cell>
          <cell r="E132" t="str">
            <v>500 ML</v>
          </cell>
          <cell r="F132">
            <v>123</v>
          </cell>
          <cell r="G132">
            <v>5</v>
          </cell>
          <cell r="H132">
            <v>6.15</v>
          </cell>
          <cell r="I132">
            <v>129.15</v>
          </cell>
        </row>
        <row r="133">
          <cell r="B133" t="str">
            <v>Axis</v>
          </cell>
          <cell r="C133" t="str">
            <v>Soil Supplement</v>
          </cell>
          <cell r="D133" t="str">
            <v>Triveni</v>
          </cell>
          <cell r="E133" t="str">
            <v>1000 ML</v>
          </cell>
          <cell r="F133">
            <v>226</v>
          </cell>
          <cell r="G133">
            <v>5</v>
          </cell>
          <cell r="H133">
            <v>11.3</v>
          </cell>
          <cell r="I133">
            <v>237.3</v>
          </cell>
        </row>
        <row r="134">
          <cell r="B134" t="str">
            <v>Axis</v>
          </cell>
          <cell r="C134" t="str">
            <v>Soil Supplement</v>
          </cell>
          <cell r="D134" t="str">
            <v>Triveni Gold</v>
          </cell>
          <cell r="E134" t="str">
            <v>100 ML</v>
          </cell>
          <cell r="F134">
            <v>39</v>
          </cell>
          <cell r="G134">
            <v>5</v>
          </cell>
          <cell r="H134">
            <v>1.9500000000000002</v>
          </cell>
          <cell r="I134">
            <v>40.950000000000003</v>
          </cell>
        </row>
        <row r="135">
          <cell r="B135" t="str">
            <v>Axis</v>
          </cell>
          <cell r="C135" t="str">
            <v>Soil Supplement</v>
          </cell>
          <cell r="D135" t="str">
            <v>Triveni Gold</v>
          </cell>
          <cell r="E135" t="str">
            <v>250 ML</v>
          </cell>
          <cell r="F135">
            <v>82</v>
          </cell>
          <cell r="G135">
            <v>5</v>
          </cell>
          <cell r="H135">
            <v>4.1000000000000005</v>
          </cell>
          <cell r="I135">
            <v>86.1</v>
          </cell>
        </row>
        <row r="136">
          <cell r="B136" t="str">
            <v>Axis</v>
          </cell>
          <cell r="C136" t="str">
            <v>Soil Supplement</v>
          </cell>
          <cell r="D136" t="str">
            <v>Triveni Gold</v>
          </cell>
          <cell r="E136" t="str">
            <v>500 ML</v>
          </cell>
          <cell r="F136">
            <v>154</v>
          </cell>
          <cell r="G136">
            <v>5</v>
          </cell>
          <cell r="H136">
            <v>7.7</v>
          </cell>
          <cell r="I136">
            <v>161.69999999999999</v>
          </cell>
        </row>
        <row r="137">
          <cell r="B137" t="str">
            <v>Axis</v>
          </cell>
          <cell r="C137" t="str">
            <v>Soil Supplement</v>
          </cell>
          <cell r="D137" t="str">
            <v>Triveni Gold</v>
          </cell>
          <cell r="E137" t="str">
            <v>1000 ML</v>
          </cell>
          <cell r="F137">
            <v>287</v>
          </cell>
          <cell r="G137">
            <v>5</v>
          </cell>
          <cell r="H137">
            <v>14.350000000000001</v>
          </cell>
          <cell r="I137">
            <v>301.35000000000002</v>
          </cell>
        </row>
        <row r="138">
          <cell r="B138" t="str">
            <v>Axis</v>
          </cell>
          <cell r="C138" t="str">
            <v>See Weed Extract</v>
          </cell>
          <cell r="D138" t="str">
            <v>Nano Gold</v>
          </cell>
          <cell r="E138" t="str">
            <v>250 ML</v>
          </cell>
          <cell r="F138">
            <v>66.75</v>
          </cell>
          <cell r="G138">
            <v>5</v>
          </cell>
          <cell r="H138">
            <v>3.3375000000000004</v>
          </cell>
          <cell r="I138">
            <v>70.087500000000006</v>
          </cell>
        </row>
        <row r="139">
          <cell r="B139" t="str">
            <v>Axis</v>
          </cell>
          <cell r="C139" t="str">
            <v>See Weed Extract</v>
          </cell>
          <cell r="D139" t="str">
            <v>Nano Gold</v>
          </cell>
          <cell r="E139" t="str">
            <v>500 ML</v>
          </cell>
          <cell r="F139">
            <v>123</v>
          </cell>
          <cell r="G139">
            <v>5</v>
          </cell>
          <cell r="H139">
            <v>6.15</v>
          </cell>
          <cell r="I139">
            <v>129.15</v>
          </cell>
        </row>
        <row r="140">
          <cell r="B140" t="str">
            <v>Axis</v>
          </cell>
          <cell r="C140" t="str">
            <v>See Weed Extract</v>
          </cell>
          <cell r="D140" t="str">
            <v>Nano Gold</v>
          </cell>
          <cell r="E140" t="str">
            <v>1000 ML</v>
          </cell>
          <cell r="F140">
            <v>226</v>
          </cell>
          <cell r="G140">
            <v>5</v>
          </cell>
          <cell r="H140">
            <v>11.3</v>
          </cell>
          <cell r="I140">
            <v>237.3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ump"/>
      <sheetName val="Work"/>
      <sheetName val="PriceList"/>
    </sheetNames>
    <sheetDataSet>
      <sheetData sheetId="0"/>
      <sheetData sheetId="1"/>
      <sheetData sheetId="2">
        <row r="1">
          <cell r="B1" t="str">
            <v>Company</v>
          </cell>
          <cell r="C1" t="str">
            <v>Technical</v>
          </cell>
          <cell r="D1" t="str">
            <v>Product Name</v>
          </cell>
          <cell r="E1" t="str">
            <v>Packing</v>
          </cell>
          <cell r="F1" t="str">
            <v>Unit Price</v>
          </cell>
          <cell r="G1" t="str">
            <v>GST %</v>
          </cell>
          <cell r="H1" t="str">
            <v>GST</v>
          </cell>
          <cell r="I1" t="str">
            <v>Price wt GST</v>
          </cell>
        </row>
        <row r="2">
          <cell r="B2" t="str">
            <v>Agastya</v>
          </cell>
          <cell r="C2" t="str">
            <v>Chlorantraniliprole 18.5% SC</v>
          </cell>
          <cell r="D2" t="str">
            <v>Aal Zen</v>
          </cell>
          <cell r="E2" t="str">
            <v>10 ML</v>
          </cell>
          <cell r="F2">
            <v>57.01</v>
          </cell>
          <cell r="G2">
            <v>18</v>
          </cell>
          <cell r="H2">
            <v>10.261799999999999</v>
          </cell>
          <cell r="I2">
            <v>67.271799999999999</v>
          </cell>
        </row>
        <row r="3">
          <cell r="B3" t="str">
            <v>Agastya</v>
          </cell>
          <cell r="C3" t="str">
            <v>Chlorantraniliprole 18.5% SC</v>
          </cell>
          <cell r="D3" t="str">
            <v>Aal Zen</v>
          </cell>
          <cell r="E3" t="str">
            <v>150 ML</v>
          </cell>
          <cell r="F3">
            <v>474.79</v>
          </cell>
          <cell r="G3">
            <v>18</v>
          </cell>
          <cell r="H3">
            <v>85.462199999999996</v>
          </cell>
          <cell r="I3">
            <v>560.25220000000002</v>
          </cell>
        </row>
        <row r="4">
          <cell r="B4" t="str">
            <v>Agastya</v>
          </cell>
          <cell r="C4" t="str">
            <v>Chlorantraniliprole 18.5% SC</v>
          </cell>
          <cell r="D4" t="str">
            <v>Aal Zen</v>
          </cell>
          <cell r="E4" t="str">
            <v>30 ML</v>
          </cell>
          <cell r="F4">
            <v>123.88</v>
          </cell>
          <cell r="G4">
            <v>18</v>
          </cell>
          <cell r="H4">
            <v>22.298399999999997</v>
          </cell>
          <cell r="I4">
            <v>146.17839999999998</v>
          </cell>
        </row>
        <row r="5">
          <cell r="B5" t="str">
            <v>Agastya</v>
          </cell>
          <cell r="C5" t="str">
            <v>Chlorantraniliprole 18.5% SC</v>
          </cell>
          <cell r="D5" t="str">
            <v>Aal Zen</v>
          </cell>
          <cell r="E5" t="str">
            <v>60 ML</v>
          </cell>
          <cell r="F5">
            <v>200</v>
          </cell>
          <cell r="G5">
            <v>18</v>
          </cell>
          <cell r="H5">
            <v>36</v>
          </cell>
          <cell r="I5">
            <v>236</v>
          </cell>
        </row>
        <row r="6">
          <cell r="B6" t="str">
            <v>Agastya</v>
          </cell>
          <cell r="C6" t="str">
            <v>Chlorantraniliprole 0.4% GR</v>
          </cell>
          <cell r="D6" t="str">
            <v>Aal Zen Gr</v>
          </cell>
          <cell r="E6" t="str">
            <v>1000 GMS</v>
          </cell>
          <cell r="F6">
            <v>100</v>
          </cell>
          <cell r="G6">
            <v>18</v>
          </cell>
          <cell r="H6">
            <v>18</v>
          </cell>
          <cell r="I6">
            <v>118</v>
          </cell>
        </row>
        <row r="7">
          <cell r="B7" t="str">
            <v>Agastya</v>
          </cell>
          <cell r="C7" t="str">
            <v>Chlorantraniliprole 0.4% GR</v>
          </cell>
          <cell r="D7" t="str">
            <v>Aal Zen Gr</v>
          </cell>
          <cell r="E7" t="str">
            <v>4000 GMS</v>
          </cell>
          <cell r="F7">
            <v>360</v>
          </cell>
          <cell r="G7">
            <v>18</v>
          </cell>
          <cell r="H7">
            <v>64.8</v>
          </cell>
          <cell r="I7">
            <v>424.8</v>
          </cell>
        </row>
        <row r="8">
          <cell r="B8" t="str">
            <v>Agastya</v>
          </cell>
          <cell r="C8" t="str">
            <v>Thifluzamide 24% SC</v>
          </cell>
          <cell r="D8" t="str">
            <v>Aalfarmer</v>
          </cell>
          <cell r="E8" t="str">
            <v>1000 ML</v>
          </cell>
          <cell r="F8">
            <v>1573</v>
          </cell>
          <cell r="G8">
            <v>18</v>
          </cell>
          <cell r="H8">
            <v>283.14</v>
          </cell>
          <cell r="I8">
            <v>1856.1399999999999</v>
          </cell>
        </row>
        <row r="9">
          <cell r="B9" t="str">
            <v>Agastya</v>
          </cell>
          <cell r="C9" t="str">
            <v>Thifluzamide 24% SC</v>
          </cell>
          <cell r="D9" t="str">
            <v>Aalfarmer</v>
          </cell>
          <cell r="E9" t="str">
            <v>150 ML</v>
          </cell>
          <cell r="F9">
            <v>247.95</v>
          </cell>
          <cell r="G9">
            <v>18</v>
          </cell>
          <cell r="H9">
            <v>44.630999999999993</v>
          </cell>
          <cell r="I9">
            <v>292.58099999999996</v>
          </cell>
        </row>
        <row r="10">
          <cell r="B10" t="str">
            <v>Agastya</v>
          </cell>
          <cell r="C10" t="str">
            <v>Thifluzamide 24% SC</v>
          </cell>
          <cell r="D10" t="str">
            <v>Aalfarmer</v>
          </cell>
          <cell r="E10" t="str">
            <v>500 ML</v>
          </cell>
          <cell r="F10">
            <v>801.5</v>
          </cell>
          <cell r="G10">
            <v>18</v>
          </cell>
          <cell r="H10">
            <v>144.26999999999998</v>
          </cell>
          <cell r="I10">
            <v>945.77</v>
          </cell>
        </row>
        <row r="11">
          <cell r="B11" t="str">
            <v>Agastya</v>
          </cell>
          <cell r="C11" t="str">
            <v>Thifluzamide 24% SC</v>
          </cell>
          <cell r="D11" t="str">
            <v>Aalfarmer</v>
          </cell>
          <cell r="E11" t="str">
            <v>75 ML</v>
          </cell>
          <cell r="F11">
            <v>127.36</v>
          </cell>
          <cell r="G11">
            <v>18</v>
          </cell>
          <cell r="H11">
            <v>22.924799999999998</v>
          </cell>
          <cell r="I11">
            <v>150.28479999999999</v>
          </cell>
        </row>
        <row r="12">
          <cell r="B12" t="str">
            <v>Agastya</v>
          </cell>
          <cell r="C12" t="str">
            <v>Imidacloprid 17.8% SL</v>
          </cell>
          <cell r="D12" t="str">
            <v>Aalfidor</v>
          </cell>
          <cell r="E12" t="str">
            <v>20000 ML</v>
          </cell>
          <cell r="F12">
            <v>11860</v>
          </cell>
          <cell r="G12">
            <v>18</v>
          </cell>
          <cell r="H12">
            <v>2134.7999999999997</v>
          </cell>
          <cell r="I12">
            <v>13994.8</v>
          </cell>
        </row>
        <row r="13">
          <cell r="B13" t="str">
            <v>Agastya</v>
          </cell>
          <cell r="C13" t="str">
            <v>Imidacloprid 17.8% SL</v>
          </cell>
          <cell r="D13" t="str">
            <v>Aalfidor</v>
          </cell>
          <cell r="E13" t="str">
            <v>1000 ML</v>
          </cell>
          <cell r="F13">
            <v>600</v>
          </cell>
          <cell r="G13">
            <v>18</v>
          </cell>
          <cell r="H13">
            <v>108</v>
          </cell>
          <cell r="I13">
            <v>708</v>
          </cell>
        </row>
        <row r="14">
          <cell r="B14" t="str">
            <v>Agastya</v>
          </cell>
          <cell r="C14" t="str">
            <v>Imidacloprid 17.8% SL</v>
          </cell>
          <cell r="D14" t="str">
            <v>Aalfidor</v>
          </cell>
          <cell r="E14" t="str">
            <v>5000 ML</v>
          </cell>
          <cell r="F14">
            <v>2975</v>
          </cell>
          <cell r="G14">
            <v>18</v>
          </cell>
          <cell r="H14">
            <v>535.5</v>
          </cell>
          <cell r="I14">
            <v>3510.5</v>
          </cell>
        </row>
        <row r="15">
          <cell r="B15" t="str">
            <v>Agastya</v>
          </cell>
          <cell r="C15" t="str">
            <v>Imidacloprid 17.8% SL</v>
          </cell>
          <cell r="D15" t="str">
            <v>Aalfidor</v>
          </cell>
          <cell r="E15" t="str">
            <v>500 ML</v>
          </cell>
          <cell r="F15">
            <v>307.5</v>
          </cell>
          <cell r="G15">
            <v>18</v>
          </cell>
          <cell r="H15">
            <v>55.35</v>
          </cell>
          <cell r="I15">
            <v>362.85</v>
          </cell>
        </row>
        <row r="16">
          <cell r="B16" t="str">
            <v>Agastya</v>
          </cell>
          <cell r="C16" t="str">
            <v>Imidacloprid 17.8% SL</v>
          </cell>
          <cell r="D16" t="str">
            <v>Aalfidor</v>
          </cell>
          <cell r="E16" t="str">
            <v>250 ML</v>
          </cell>
          <cell r="F16">
            <v>157.5</v>
          </cell>
          <cell r="G16">
            <v>18</v>
          </cell>
          <cell r="H16">
            <v>28.349999999999998</v>
          </cell>
          <cell r="I16">
            <v>185.85</v>
          </cell>
        </row>
        <row r="17">
          <cell r="B17" t="str">
            <v>Agastya</v>
          </cell>
          <cell r="C17" t="str">
            <v>Imidacloprid 17.8% SL</v>
          </cell>
          <cell r="D17" t="str">
            <v>Aalfidor</v>
          </cell>
          <cell r="E17" t="str">
            <v>50 ML</v>
          </cell>
          <cell r="F17">
            <v>35.5</v>
          </cell>
          <cell r="G17">
            <v>18</v>
          </cell>
          <cell r="H17">
            <v>6.39</v>
          </cell>
          <cell r="I17">
            <v>41.89</v>
          </cell>
        </row>
        <row r="18">
          <cell r="B18" t="str">
            <v>Agastya</v>
          </cell>
          <cell r="C18" t="str">
            <v>Imidacloprid 17.8% SL</v>
          </cell>
          <cell r="D18" t="str">
            <v>Aalfidor</v>
          </cell>
          <cell r="E18" t="str">
            <v>100 ML</v>
          </cell>
          <cell r="F18">
            <v>70.5</v>
          </cell>
          <cell r="G18">
            <v>18</v>
          </cell>
          <cell r="H18">
            <v>12.69</v>
          </cell>
          <cell r="I18">
            <v>83.19</v>
          </cell>
        </row>
        <row r="19">
          <cell r="B19" t="str">
            <v>Agastya</v>
          </cell>
          <cell r="C19" t="str">
            <v>Lambda Cyhalothrin 2.5% EC</v>
          </cell>
          <cell r="D19" t="str">
            <v>Aalfu</v>
          </cell>
          <cell r="E19" t="str">
            <v>1000 ML</v>
          </cell>
          <cell r="F19">
            <v>228</v>
          </cell>
          <cell r="G19">
            <v>18</v>
          </cell>
          <cell r="H19">
            <v>41.04</v>
          </cell>
          <cell r="I19">
            <v>269.04000000000002</v>
          </cell>
        </row>
        <row r="20">
          <cell r="B20" t="str">
            <v>Agastya</v>
          </cell>
          <cell r="C20" t="str">
            <v>Lambda Cyhalothrin 2.5% EC</v>
          </cell>
          <cell r="D20" t="str">
            <v>Aalfu</v>
          </cell>
          <cell r="E20" t="str">
            <v>100 ML</v>
          </cell>
          <cell r="F20">
            <v>29.8</v>
          </cell>
          <cell r="G20">
            <v>18</v>
          </cell>
          <cell r="H20">
            <v>5.3639999999999999</v>
          </cell>
          <cell r="I20">
            <v>35.164000000000001</v>
          </cell>
        </row>
        <row r="21">
          <cell r="B21" t="str">
            <v>Agastya</v>
          </cell>
          <cell r="C21" t="str">
            <v>Lambda Cyhalothrin 2.5% EC</v>
          </cell>
          <cell r="D21" t="str">
            <v>Aalfu</v>
          </cell>
          <cell r="E21" t="str">
            <v>5000 ML</v>
          </cell>
          <cell r="F21">
            <v>1115</v>
          </cell>
          <cell r="G21">
            <v>18</v>
          </cell>
          <cell r="H21">
            <v>200.7</v>
          </cell>
          <cell r="I21">
            <v>1315.7</v>
          </cell>
        </row>
        <row r="22">
          <cell r="B22" t="str">
            <v>Agastya</v>
          </cell>
          <cell r="C22" t="str">
            <v>Lambda Cyhalothrin 2.5% EC</v>
          </cell>
          <cell r="D22" t="str">
            <v>Aalfu</v>
          </cell>
          <cell r="E22" t="str">
            <v>500 ML</v>
          </cell>
          <cell r="F22">
            <v>120</v>
          </cell>
          <cell r="G22">
            <v>18</v>
          </cell>
          <cell r="H22">
            <v>21.599999999999998</v>
          </cell>
          <cell r="I22">
            <v>141.6</v>
          </cell>
        </row>
        <row r="23">
          <cell r="B23" t="str">
            <v>Agastya</v>
          </cell>
          <cell r="C23" t="str">
            <v>Lambda Cyhalothrin 2.5% EC</v>
          </cell>
          <cell r="D23" t="str">
            <v>Aalfu</v>
          </cell>
          <cell r="E23" t="str">
            <v>250 ML</v>
          </cell>
          <cell r="F23">
            <v>66</v>
          </cell>
          <cell r="G23">
            <v>18</v>
          </cell>
          <cell r="H23">
            <v>11.879999999999999</v>
          </cell>
          <cell r="I23">
            <v>77.88</v>
          </cell>
        </row>
        <row r="24">
          <cell r="B24" t="str">
            <v>Agastya</v>
          </cell>
          <cell r="C24" t="str">
            <v>Fipronil 5% SC</v>
          </cell>
          <cell r="D24" t="str">
            <v>Aalgent</v>
          </cell>
          <cell r="E24" t="str">
            <v>1000 GMS</v>
          </cell>
          <cell r="F24">
            <v>777</v>
          </cell>
          <cell r="G24">
            <v>18</v>
          </cell>
          <cell r="H24">
            <v>139.85999999999999</v>
          </cell>
          <cell r="I24">
            <v>916.86</v>
          </cell>
        </row>
        <row r="25">
          <cell r="B25" t="str">
            <v>Agastya</v>
          </cell>
          <cell r="C25" t="str">
            <v>Fipronil 5% SC</v>
          </cell>
          <cell r="D25" t="str">
            <v>Aalgent</v>
          </cell>
          <cell r="E25" t="str">
            <v>100 GMS</v>
          </cell>
          <cell r="F25">
            <v>85.2</v>
          </cell>
          <cell r="G25">
            <v>18</v>
          </cell>
          <cell r="H25">
            <v>15.336</v>
          </cell>
          <cell r="I25">
            <v>100.536</v>
          </cell>
        </row>
        <row r="26">
          <cell r="B26" t="str">
            <v>Agastya</v>
          </cell>
          <cell r="C26" t="str">
            <v>Fipronil 5% SC</v>
          </cell>
          <cell r="D26" t="str">
            <v>Aalgent</v>
          </cell>
          <cell r="E26" t="str">
            <v>5000 GMS</v>
          </cell>
          <cell r="F26">
            <v>3860</v>
          </cell>
          <cell r="G26">
            <v>18</v>
          </cell>
          <cell r="H26">
            <v>694.8</v>
          </cell>
          <cell r="I26">
            <v>4554.8</v>
          </cell>
        </row>
        <row r="27">
          <cell r="B27" t="str">
            <v>Agastya</v>
          </cell>
          <cell r="C27" t="str">
            <v>Fipronil 5% SC</v>
          </cell>
          <cell r="D27" t="str">
            <v>Aalgent</v>
          </cell>
          <cell r="E27" t="str">
            <v>500 GMS</v>
          </cell>
          <cell r="F27">
            <v>398.5</v>
          </cell>
          <cell r="G27">
            <v>18</v>
          </cell>
          <cell r="H27">
            <v>71.73</v>
          </cell>
          <cell r="I27">
            <v>470.23</v>
          </cell>
        </row>
        <row r="28">
          <cell r="B28" t="str">
            <v>Agastya</v>
          </cell>
          <cell r="C28" t="str">
            <v>Fipronil 5% SC</v>
          </cell>
          <cell r="D28" t="str">
            <v>Aalgent</v>
          </cell>
          <cell r="E28" t="str">
            <v>250 GMS</v>
          </cell>
          <cell r="F28">
            <v>204.25</v>
          </cell>
          <cell r="G28">
            <v>18</v>
          </cell>
          <cell r="H28">
            <v>36.765000000000001</v>
          </cell>
          <cell r="I28">
            <v>241.01499999999999</v>
          </cell>
        </row>
        <row r="29">
          <cell r="B29" t="str">
            <v>Agastya</v>
          </cell>
          <cell r="C29" t="str">
            <v>Fipronil 0.3% GR</v>
          </cell>
          <cell r="D29" t="str">
            <v>Aalgent-Gr</v>
          </cell>
          <cell r="E29" t="str">
            <v>1000 GMS</v>
          </cell>
          <cell r="F29">
            <v>64</v>
          </cell>
          <cell r="G29">
            <v>18</v>
          </cell>
          <cell r="H29">
            <v>11.52</v>
          </cell>
          <cell r="I29">
            <v>75.52</v>
          </cell>
        </row>
        <row r="30">
          <cell r="B30" t="str">
            <v>Agastya</v>
          </cell>
          <cell r="C30" t="str">
            <v>Fipronil 0.3% GR</v>
          </cell>
          <cell r="D30" t="str">
            <v>Aalgent-Gr</v>
          </cell>
          <cell r="E30" t="str">
            <v>5000 GMS</v>
          </cell>
          <cell r="F30">
            <v>310</v>
          </cell>
          <cell r="G30">
            <v>18</v>
          </cell>
          <cell r="H30">
            <v>55.8</v>
          </cell>
          <cell r="I30">
            <v>365.8</v>
          </cell>
        </row>
        <row r="31">
          <cell r="B31" t="str">
            <v>Agastya</v>
          </cell>
          <cell r="C31" t="str">
            <v>Permethrin 25% EC</v>
          </cell>
          <cell r="D31" t="str">
            <v>Aalmetrin</v>
          </cell>
          <cell r="E31" t="str">
            <v>1000 ML</v>
          </cell>
          <cell r="F31">
            <v>465</v>
          </cell>
          <cell r="G31">
            <v>18</v>
          </cell>
          <cell r="H31">
            <v>83.7</v>
          </cell>
          <cell r="I31">
            <v>548.70000000000005</v>
          </cell>
        </row>
        <row r="32">
          <cell r="B32" t="str">
            <v>Agastya</v>
          </cell>
          <cell r="C32" t="str">
            <v>Permethrin 25% EC</v>
          </cell>
          <cell r="D32" t="str">
            <v>Aalmetrin</v>
          </cell>
          <cell r="E32" t="str">
            <v>500 ML</v>
          </cell>
          <cell r="F32">
            <v>242.5</v>
          </cell>
          <cell r="G32">
            <v>18</v>
          </cell>
          <cell r="H32">
            <v>43.65</v>
          </cell>
          <cell r="I32">
            <v>286.14999999999998</v>
          </cell>
        </row>
        <row r="33">
          <cell r="B33" t="str">
            <v>Agastya</v>
          </cell>
          <cell r="C33" t="str">
            <v>Permethrin 25% EC</v>
          </cell>
          <cell r="D33" t="str">
            <v>Aalmetrin</v>
          </cell>
          <cell r="E33" t="str">
            <v>250 ML</v>
          </cell>
          <cell r="F33">
            <v>126.25</v>
          </cell>
          <cell r="G33">
            <v>18</v>
          </cell>
          <cell r="H33">
            <v>22.724999999999998</v>
          </cell>
          <cell r="I33">
            <v>148.97499999999999</v>
          </cell>
        </row>
        <row r="34">
          <cell r="B34" t="str">
            <v>Agastya</v>
          </cell>
          <cell r="C34" t="str">
            <v>Permethrin 25% EC</v>
          </cell>
          <cell r="D34" t="str">
            <v>Aalmetrin</v>
          </cell>
          <cell r="E34" t="str">
            <v>100 ML</v>
          </cell>
          <cell r="F34">
            <v>53.5</v>
          </cell>
          <cell r="G34">
            <v>18</v>
          </cell>
          <cell r="H34">
            <v>9.629999999999999</v>
          </cell>
          <cell r="I34">
            <v>63.129999999999995</v>
          </cell>
        </row>
        <row r="35">
          <cell r="B35" t="str">
            <v>Agastya</v>
          </cell>
          <cell r="C35" t="str">
            <v>Permethrin 25% EC</v>
          </cell>
          <cell r="D35" t="str">
            <v>Aalmetrin</v>
          </cell>
          <cell r="E35" t="str">
            <v>5000 ML</v>
          </cell>
          <cell r="F35">
            <v>2290</v>
          </cell>
          <cell r="G35">
            <v>18</v>
          </cell>
          <cell r="H35">
            <v>412.2</v>
          </cell>
          <cell r="I35">
            <v>2702.2</v>
          </cell>
        </row>
        <row r="36">
          <cell r="B36" t="str">
            <v>Agastya</v>
          </cell>
          <cell r="C36" t="str">
            <v>Lambda Cyhalothrin 5% EC</v>
          </cell>
          <cell r="D36" t="str">
            <v>Aalout</v>
          </cell>
          <cell r="E36" t="str">
            <v>1000 ML</v>
          </cell>
          <cell r="F36">
            <v>298</v>
          </cell>
          <cell r="G36">
            <v>18</v>
          </cell>
          <cell r="H36">
            <v>53.64</v>
          </cell>
          <cell r="I36">
            <v>351.64</v>
          </cell>
        </row>
        <row r="37">
          <cell r="B37" t="str">
            <v>Agastya</v>
          </cell>
          <cell r="C37" t="str">
            <v>Lambda Cyhalothrin 5% EC</v>
          </cell>
          <cell r="D37" t="str">
            <v>Aalout</v>
          </cell>
          <cell r="E37" t="str">
            <v>100 ML</v>
          </cell>
          <cell r="F37">
            <v>36.799999999999997</v>
          </cell>
          <cell r="G37">
            <v>18</v>
          </cell>
          <cell r="H37">
            <v>6.6239999999999997</v>
          </cell>
          <cell r="I37">
            <v>43.423999999999999</v>
          </cell>
        </row>
        <row r="38">
          <cell r="B38" t="str">
            <v>Agastya</v>
          </cell>
          <cell r="C38" t="str">
            <v>Lambda Cyhalothrin 5% EC</v>
          </cell>
          <cell r="D38" t="str">
            <v>Aalout</v>
          </cell>
          <cell r="E38" t="str">
            <v>5000 ML</v>
          </cell>
          <cell r="F38">
            <v>1465</v>
          </cell>
          <cell r="G38">
            <v>18</v>
          </cell>
          <cell r="H38">
            <v>263.7</v>
          </cell>
          <cell r="I38">
            <v>1728.7</v>
          </cell>
        </row>
        <row r="39">
          <cell r="B39" t="str">
            <v>Agastya</v>
          </cell>
          <cell r="C39" t="str">
            <v>Lambda Cyhalothrin 5% EC</v>
          </cell>
          <cell r="D39" t="str">
            <v>Aalout</v>
          </cell>
          <cell r="E39" t="str">
            <v>500 ML</v>
          </cell>
          <cell r="F39">
            <v>155</v>
          </cell>
          <cell r="G39">
            <v>18</v>
          </cell>
          <cell r="H39">
            <v>27.9</v>
          </cell>
          <cell r="I39">
            <v>182.9</v>
          </cell>
        </row>
        <row r="40">
          <cell r="B40" t="str">
            <v>Agastya</v>
          </cell>
          <cell r="C40" t="str">
            <v>Lambda Cyhalothrin 5% EC</v>
          </cell>
          <cell r="D40" t="str">
            <v>Aalout</v>
          </cell>
          <cell r="E40" t="str">
            <v>250 ML</v>
          </cell>
          <cell r="F40">
            <v>83.5</v>
          </cell>
          <cell r="G40">
            <v>18</v>
          </cell>
          <cell r="H40">
            <v>15.03</v>
          </cell>
          <cell r="I40">
            <v>98.53</v>
          </cell>
        </row>
        <row r="41">
          <cell r="B41" t="str">
            <v>Agastya</v>
          </cell>
          <cell r="C41" t="str">
            <v>Buprofezin 25% SC</v>
          </cell>
          <cell r="D41" t="str">
            <v>Aalplod</v>
          </cell>
          <cell r="E41" t="str">
            <v>1000 ML</v>
          </cell>
          <cell r="F41">
            <v>536</v>
          </cell>
          <cell r="G41">
            <v>18</v>
          </cell>
          <cell r="H41">
            <v>96.47999999999999</v>
          </cell>
          <cell r="I41">
            <v>632.48</v>
          </cell>
        </row>
        <row r="42">
          <cell r="B42" t="str">
            <v>Agastya</v>
          </cell>
          <cell r="C42" t="str">
            <v>Buprofezin 25% SC</v>
          </cell>
          <cell r="D42" t="str">
            <v>Aalplod</v>
          </cell>
          <cell r="E42" t="str">
            <v>5000 ML</v>
          </cell>
          <cell r="F42">
            <v>2655</v>
          </cell>
          <cell r="G42">
            <v>18</v>
          </cell>
          <cell r="H42">
            <v>477.9</v>
          </cell>
          <cell r="I42">
            <v>3132.9</v>
          </cell>
        </row>
        <row r="43">
          <cell r="B43" t="str">
            <v>Agastya</v>
          </cell>
          <cell r="C43" t="str">
            <v>Buprofezin 25% SC</v>
          </cell>
          <cell r="D43" t="str">
            <v>Aalplod</v>
          </cell>
          <cell r="E43" t="str">
            <v>500 ML</v>
          </cell>
          <cell r="F43">
            <v>278</v>
          </cell>
          <cell r="G43">
            <v>18</v>
          </cell>
          <cell r="H43">
            <v>50.04</v>
          </cell>
          <cell r="I43">
            <v>328.04</v>
          </cell>
        </row>
        <row r="44">
          <cell r="B44" t="str">
            <v>Agastya</v>
          </cell>
          <cell r="C44" t="str">
            <v>Buprofezin 25% SC</v>
          </cell>
          <cell r="D44" t="str">
            <v>Aalplod</v>
          </cell>
          <cell r="E44" t="str">
            <v>250 ML</v>
          </cell>
          <cell r="F44">
            <v>144</v>
          </cell>
          <cell r="G44">
            <v>18</v>
          </cell>
          <cell r="H44">
            <v>25.919999999999998</v>
          </cell>
          <cell r="I44">
            <v>169.92</v>
          </cell>
        </row>
        <row r="45">
          <cell r="B45" t="str">
            <v>Agastya</v>
          </cell>
          <cell r="C45" t="str">
            <v>Acetamiprid 20% SP</v>
          </cell>
          <cell r="D45" t="str">
            <v>Aalprid</v>
          </cell>
          <cell r="E45" t="str">
            <v>20 GMS</v>
          </cell>
          <cell r="F45">
            <v>19.64</v>
          </cell>
          <cell r="G45">
            <v>18</v>
          </cell>
          <cell r="H45">
            <v>3.5352000000000001</v>
          </cell>
          <cell r="I45">
            <v>23.1752</v>
          </cell>
        </row>
        <row r="46">
          <cell r="B46" t="str">
            <v>Agastya</v>
          </cell>
          <cell r="C46" t="str">
            <v>Acetamiprid 20% SP</v>
          </cell>
          <cell r="D46" t="str">
            <v>Aalprid</v>
          </cell>
          <cell r="E46" t="str">
            <v>50 GMS</v>
          </cell>
          <cell r="F46">
            <v>44.1</v>
          </cell>
          <cell r="G46">
            <v>18</v>
          </cell>
          <cell r="H46">
            <v>7.9379999999999997</v>
          </cell>
          <cell r="I46">
            <v>52.038000000000004</v>
          </cell>
        </row>
        <row r="47">
          <cell r="B47" t="str">
            <v>Agastya</v>
          </cell>
          <cell r="C47" t="str">
            <v>Acetamiprid 20% SP</v>
          </cell>
          <cell r="D47" t="str">
            <v>Aalprid</v>
          </cell>
          <cell r="E47" t="str">
            <v>1000 GMS</v>
          </cell>
          <cell r="F47">
            <v>792</v>
          </cell>
          <cell r="G47">
            <v>18</v>
          </cell>
          <cell r="H47">
            <v>142.56</v>
          </cell>
          <cell r="I47">
            <v>934.56</v>
          </cell>
        </row>
        <row r="48">
          <cell r="B48" t="str">
            <v>Agastya</v>
          </cell>
          <cell r="C48" t="str">
            <v>Acetamiprid 20% SP</v>
          </cell>
          <cell r="D48" t="str">
            <v>Aalprid</v>
          </cell>
          <cell r="E48" t="str">
            <v>100 GMS</v>
          </cell>
          <cell r="F48">
            <v>84.2</v>
          </cell>
          <cell r="G48">
            <v>18</v>
          </cell>
          <cell r="H48">
            <v>15.156000000000001</v>
          </cell>
          <cell r="I48">
            <v>99.356000000000009</v>
          </cell>
        </row>
        <row r="49">
          <cell r="B49" t="str">
            <v>Agastya</v>
          </cell>
          <cell r="C49" t="str">
            <v>Acetamiprid 20% SP</v>
          </cell>
          <cell r="D49" t="str">
            <v>Aalprid</v>
          </cell>
          <cell r="E49" t="str">
            <v>500 GMS</v>
          </cell>
          <cell r="F49">
            <v>401</v>
          </cell>
          <cell r="G49">
            <v>18</v>
          </cell>
          <cell r="H49">
            <v>72.179999999999993</v>
          </cell>
          <cell r="I49">
            <v>473.18</v>
          </cell>
        </row>
        <row r="50">
          <cell r="B50" t="str">
            <v>Agastya</v>
          </cell>
          <cell r="C50" t="str">
            <v>Acetamiprid 20% SP</v>
          </cell>
          <cell r="D50" t="str">
            <v>Aalprid</v>
          </cell>
          <cell r="E50" t="str">
            <v>250 GMS</v>
          </cell>
          <cell r="F50">
            <v>205.5</v>
          </cell>
          <cell r="G50">
            <v>18</v>
          </cell>
          <cell r="H50">
            <v>36.99</v>
          </cell>
          <cell r="I50">
            <v>242.49</v>
          </cell>
        </row>
        <row r="51">
          <cell r="B51" t="str">
            <v>Agastya</v>
          </cell>
          <cell r="C51" t="str">
            <v>Bifenthrin 10% EC</v>
          </cell>
          <cell r="D51" t="str">
            <v>Aalstar</v>
          </cell>
          <cell r="E51" t="str">
            <v>1000 ML</v>
          </cell>
          <cell r="F51">
            <v>724</v>
          </cell>
          <cell r="G51">
            <v>18</v>
          </cell>
          <cell r="H51">
            <v>130.32</v>
          </cell>
          <cell r="I51">
            <v>854.31999999999994</v>
          </cell>
        </row>
        <row r="52">
          <cell r="B52" t="str">
            <v>Agastya</v>
          </cell>
          <cell r="C52" t="str">
            <v>Bifenthrin 10% EC</v>
          </cell>
          <cell r="D52" t="str">
            <v>Aalstar</v>
          </cell>
          <cell r="E52" t="str">
            <v>100 ML</v>
          </cell>
          <cell r="F52">
            <v>82.4</v>
          </cell>
          <cell r="G52">
            <v>18</v>
          </cell>
          <cell r="H52">
            <v>14.832000000000001</v>
          </cell>
          <cell r="I52">
            <v>97.231999999999999</v>
          </cell>
        </row>
        <row r="53">
          <cell r="B53" t="str">
            <v>Agastya</v>
          </cell>
          <cell r="C53" t="str">
            <v>Bifenthrin 10% EC</v>
          </cell>
          <cell r="D53" t="str">
            <v>Aalstar</v>
          </cell>
          <cell r="E53" t="str">
            <v>500 ML</v>
          </cell>
          <cell r="F53">
            <v>372</v>
          </cell>
          <cell r="G53">
            <v>18</v>
          </cell>
          <cell r="H53">
            <v>66.959999999999994</v>
          </cell>
          <cell r="I53">
            <v>438.96</v>
          </cell>
        </row>
        <row r="54">
          <cell r="B54" t="str">
            <v>Agastya</v>
          </cell>
          <cell r="C54" t="str">
            <v>Bifenthrin 10% EC</v>
          </cell>
          <cell r="D54" t="str">
            <v>Aalstar</v>
          </cell>
          <cell r="E54" t="str">
            <v>250 ML</v>
          </cell>
          <cell r="F54">
            <v>196</v>
          </cell>
          <cell r="G54">
            <v>18</v>
          </cell>
          <cell r="H54">
            <v>35.28</v>
          </cell>
          <cell r="I54">
            <v>231.28</v>
          </cell>
        </row>
        <row r="55">
          <cell r="B55" t="str">
            <v>Agastya</v>
          </cell>
          <cell r="C55" t="str">
            <v>Quizalofop Ethyl 5% EC</v>
          </cell>
          <cell r="D55" t="str">
            <v>Aalsuper</v>
          </cell>
          <cell r="E55" t="str">
            <v>1000 ML</v>
          </cell>
          <cell r="F55">
            <v>794</v>
          </cell>
          <cell r="G55">
            <v>18</v>
          </cell>
          <cell r="H55">
            <v>142.91999999999999</v>
          </cell>
          <cell r="I55">
            <v>936.92</v>
          </cell>
        </row>
        <row r="56">
          <cell r="B56" t="str">
            <v>Agastya</v>
          </cell>
          <cell r="C56" t="str">
            <v>Quizalofop Ethyl 5% EC</v>
          </cell>
          <cell r="D56" t="str">
            <v>Aalsuper</v>
          </cell>
          <cell r="E56" t="str">
            <v>500 ML</v>
          </cell>
          <cell r="F56">
            <v>407</v>
          </cell>
          <cell r="G56">
            <v>18</v>
          </cell>
          <cell r="H56">
            <v>73.259999999999991</v>
          </cell>
          <cell r="I56">
            <v>480.26</v>
          </cell>
        </row>
        <row r="57">
          <cell r="B57" t="str">
            <v>Agastya</v>
          </cell>
          <cell r="C57" t="str">
            <v>Quizalofop Ethyl 5% EC</v>
          </cell>
          <cell r="D57" t="str">
            <v>Aalsuper</v>
          </cell>
          <cell r="E57" t="str">
            <v>250 ML</v>
          </cell>
          <cell r="F57">
            <v>208.5</v>
          </cell>
          <cell r="G57">
            <v>18</v>
          </cell>
          <cell r="H57">
            <v>37.53</v>
          </cell>
          <cell r="I57">
            <v>246.03</v>
          </cell>
        </row>
        <row r="58">
          <cell r="B58" t="str">
            <v>Agastya</v>
          </cell>
          <cell r="C58" t="str">
            <v>Quizalofop Ethyl 5% EC</v>
          </cell>
          <cell r="D58" t="str">
            <v>Aalsuper</v>
          </cell>
          <cell r="E58" t="str">
            <v>100 ML</v>
          </cell>
          <cell r="F58">
            <v>86.9</v>
          </cell>
          <cell r="G58">
            <v>18</v>
          </cell>
          <cell r="H58">
            <v>15.642000000000001</v>
          </cell>
          <cell r="I58">
            <v>102.542</v>
          </cell>
        </row>
        <row r="59">
          <cell r="B59" t="str">
            <v>Agastya</v>
          </cell>
          <cell r="C59" t="str">
            <v>Hexaconazole 5% EC</v>
          </cell>
          <cell r="D59" t="str">
            <v>Aaltaf</v>
          </cell>
          <cell r="E59" t="str">
            <v>100 ML</v>
          </cell>
          <cell r="F59">
            <v>34.200000000000003</v>
          </cell>
          <cell r="G59">
            <v>18</v>
          </cell>
          <cell r="H59">
            <v>6.1560000000000006</v>
          </cell>
          <cell r="I59">
            <v>40.356000000000002</v>
          </cell>
        </row>
        <row r="60">
          <cell r="B60" t="str">
            <v>Agastya</v>
          </cell>
          <cell r="C60" t="str">
            <v>Hexaconazole 5% EC</v>
          </cell>
          <cell r="D60" t="str">
            <v>Aaltaf</v>
          </cell>
          <cell r="E60" t="str">
            <v>1000 ML</v>
          </cell>
          <cell r="F60">
            <v>262</v>
          </cell>
          <cell r="G60">
            <v>18</v>
          </cell>
          <cell r="H60">
            <v>47.16</v>
          </cell>
          <cell r="I60">
            <v>309.15999999999997</v>
          </cell>
        </row>
        <row r="61">
          <cell r="B61" t="str">
            <v>Agastya</v>
          </cell>
          <cell r="C61" t="str">
            <v>Hexaconazole 5% EC</v>
          </cell>
          <cell r="D61" t="str">
            <v>Aaltaf</v>
          </cell>
          <cell r="E61" t="str">
            <v>5000 ML</v>
          </cell>
          <cell r="F61">
            <v>1285</v>
          </cell>
          <cell r="G61">
            <v>18</v>
          </cell>
          <cell r="H61">
            <v>231.29999999999998</v>
          </cell>
          <cell r="I61">
            <v>1516.3</v>
          </cell>
        </row>
        <row r="62">
          <cell r="B62" t="str">
            <v>Agastya</v>
          </cell>
          <cell r="C62" t="str">
            <v>Hexaconazole 5% EC</v>
          </cell>
          <cell r="D62" t="str">
            <v>Aaltaf</v>
          </cell>
          <cell r="E62" t="str">
            <v>500 ML</v>
          </cell>
          <cell r="F62">
            <v>137</v>
          </cell>
          <cell r="G62">
            <v>18</v>
          </cell>
          <cell r="H62">
            <v>24.66</v>
          </cell>
          <cell r="I62">
            <v>161.66</v>
          </cell>
        </row>
        <row r="63">
          <cell r="B63" t="str">
            <v>Agastya</v>
          </cell>
          <cell r="C63" t="str">
            <v>Hexaconazole 5% EC</v>
          </cell>
          <cell r="D63" t="str">
            <v>Aaltaf</v>
          </cell>
          <cell r="E63" t="str">
            <v>250 ML</v>
          </cell>
          <cell r="F63">
            <v>74.5</v>
          </cell>
          <cell r="G63">
            <v>18</v>
          </cell>
          <cell r="H63">
            <v>13.41</v>
          </cell>
          <cell r="I63">
            <v>87.91</v>
          </cell>
        </row>
        <row r="64">
          <cell r="B64" t="str">
            <v>Agastya</v>
          </cell>
          <cell r="C64" t="str">
            <v>Hexaconazole 5% EC</v>
          </cell>
          <cell r="D64" t="str">
            <v>Aaltaf</v>
          </cell>
          <cell r="E64" t="str">
            <v>20000 ML</v>
          </cell>
          <cell r="F64">
            <v>4460</v>
          </cell>
          <cell r="G64">
            <v>18</v>
          </cell>
          <cell r="H64">
            <v>802.8</v>
          </cell>
          <cell r="I64">
            <v>5262.8</v>
          </cell>
        </row>
        <row r="65">
          <cell r="B65" t="str">
            <v>Agastya</v>
          </cell>
          <cell r="C65" t="str">
            <v>Hexaconazole 5% SC</v>
          </cell>
          <cell r="D65" t="str">
            <v>Aaltaf Plus</v>
          </cell>
          <cell r="E65" t="str">
            <v>1000 ML</v>
          </cell>
          <cell r="F65">
            <v>206</v>
          </cell>
          <cell r="G65">
            <v>18</v>
          </cell>
          <cell r="H65">
            <v>37.08</v>
          </cell>
          <cell r="I65">
            <v>243.07999999999998</v>
          </cell>
        </row>
        <row r="66">
          <cell r="B66" t="str">
            <v>Agastya</v>
          </cell>
          <cell r="C66" t="str">
            <v>Hexaconazole 5% SC</v>
          </cell>
          <cell r="D66" t="str">
            <v>Aaltaf Plus</v>
          </cell>
          <cell r="E66" t="str">
            <v>5000 ML</v>
          </cell>
          <cell r="F66">
            <v>1005</v>
          </cell>
          <cell r="G66">
            <v>18</v>
          </cell>
          <cell r="H66">
            <v>180.9</v>
          </cell>
          <cell r="I66">
            <v>1185.9000000000001</v>
          </cell>
        </row>
        <row r="67">
          <cell r="B67" t="str">
            <v>Agastya</v>
          </cell>
          <cell r="C67" t="str">
            <v>Hexaconazole 5% SC</v>
          </cell>
          <cell r="D67" t="str">
            <v>Aaltaf Plus</v>
          </cell>
          <cell r="E67" t="str">
            <v>500 ML</v>
          </cell>
          <cell r="F67">
            <v>113</v>
          </cell>
          <cell r="G67">
            <v>18</v>
          </cell>
          <cell r="H67">
            <v>20.34</v>
          </cell>
          <cell r="I67">
            <v>133.34</v>
          </cell>
        </row>
        <row r="68">
          <cell r="B68" t="str">
            <v>Agastya</v>
          </cell>
          <cell r="C68" t="str">
            <v>Hexaconazole 5% SC</v>
          </cell>
          <cell r="D68" t="str">
            <v>Aaltaf Plus</v>
          </cell>
          <cell r="E68" t="str">
            <v>250 ML</v>
          </cell>
          <cell r="F68">
            <v>61.5</v>
          </cell>
          <cell r="G68">
            <v>18</v>
          </cell>
          <cell r="H68">
            <v>11.07</v>
          </cell>
          <cell r="I68">
            <v>72.569999999999993</v>
          </cell>
        </row>
        <row r="69">
          <cell r="B69" t="str">
            <v>Agastya</v>
          </cell>
          <cell r="C69" t="str">
            <v>Hexaconazole 5% SC</v>
          </cell>
          <cell r="D69" t="str">
            <v>Aaltaf Plus</v>
          </cell>
          <cell r="E69" t="str">
            <v>100 ML</v>
          </cell>
          <cell r="F69">
            <v>28.1</v>
          </cell>
          <cell r="G69">
            <v>18</v>
          </cell>
          <cell r="H69">
            <v>5.0579999999999998</v>
          </cell>
          <cell r="I69">
            <v>33.158000000000001</v>
          </cell>
        </row>
        <row r="70">
          <cell r="B70" t="str">
            <v>Agastya</v>
          </cell>
          <cell r="C70" t="str">
            <v>Thiamethoxam 25% WG</v>
          </cell>
          <cell r="D70" t="str">
            <v>Aaltara</v>
          </cell>
          <cell r="E70" t="str">
            <v>1000 GMS</v>
          </cell>
          <cell r="F70">
            <v>717</v>
          </cell>
          <cell r="G70">
            <v>18</v>
          </cell>
          <cell r="H70">
            <v>129.06</v>
          </cell>
          <cell r="I70">
            <v>846.06</v>
          </cell>
        </row>
        <row r="71">
          <cell r="B71" t="str">
            <v>Agastya</v>
          </cell>
          <cell r="C71" t="str">
            <v>Thiamethoxam 25% WG</v>
          </cell>
          <cell r="D71" t="str">
            <v>Aaltara</v>
          </cell>
          <cell r="E71" t="str">
            <v>500 GMS</v>
          </cell>
          <cell r="F71">
            <v>368.5</v>
          </cell>
          <cell r="G71">
            <v>18</v>
          </cell>
          <cell r="H71">
            <v>66.33</v>
          </cell>
          <cell r="I71">
            <v>434.83</v>
          </cell>
        </row>
        <row r="72">
          <cell r="B72" t="str">
            <v>Agastya</v>
          </cell>
          <cell r="C72" t="str">
            <v>Thiamethoxam 25% WG</v>
          </cell>
          <cell r="D72" t="str">
            <v>Aaltara</v>
          </cell>
          <cell r="E72" t="str">
            <v>250 GMS</v>
          </cell>
          <cell r="F72">
            <v>196.75</v>
          </cell>
          <cell r="G72">
            <v>18</v>
          </cell>
          <cell r="H72">
            <v>35.414999999999999</v>
          </cell>
          <cell r="I72">
            <v>232.16499999999999</v>
          </cell>
        </row>
        <row r="73">
          <cell r="B73" t="str">
            <v>Agastya</v>
          </cell>
          <cell r="C73" t="str">
            <v>Thiamethoxam 25% WG</v>
          </cell>
          <cell r="D73" t="str">
            <v>Aaltara</v>
          </cell>
          <cell r="E73" t="str">
            <v>100 GMS</v>
          </cell>
          <cell r="F73">
            <v>83.7</v>
          </cell>
          <cell r="G73">
            <v>18</v>
          </cell>
          <cell r="H73">
            <v>15.066000000000001</v>
          </cell>
          <cell r="I73">
            <v>98.766000000000005</v>
          </cell>
        </row>
        <row r="74">
          <cell r="B74" t="str">
            <v>Agastya</v>
          </cell>
          <cell r="C74" t="str">
            <v>Thiamethoxam 25% WG</v>
          </cell>
          <cell r="D74" t="str">
            <v>Aaltara</v>
          </cell>
          <cell r="E74" t="str">
            <v>5 GMS</v>
          </cell>
          <cell r="F74">
            <v>7.09</v>
          </cell>
          <cell r="G74">
            <v>18</v>
          </cell>
          <cell r="H74">
            <v>1.2762</v>
          </cell>
          <cell r="I74">
            <v>8.3661999999999992</v>
          </cell>
        </row>
        <row r="75">
          <cell r="B75" t="str">
            <v>Agastya</v>
          </cell>
          <cell r="C75" t="str">
            <v xml:space="preserve">Metalaxyl 35% WS </v>
          </cell>
          <cell r="D75" t="str">
            <v>Aaltaxyl</v>
          </cell>
          <cell r="E75" t="str">
            <v>1000 GMS</v>
          </cell>
          <cell r="F75">
            <v>943</v>
          </cell>
          <cell r="G75">
            <v>18</v>
          </cell>
          <cell r="H75">
            <v>169.73999999999998</v>
          </cell>
          <cell r="I75">
            <v>1112.74</v>
          </cell>
        </row>
        <row r="76">
          <cell r="B76" t="str">
            <v>Agastya</v>
          </cell>
          <cell r="C76" t="str">
            <v xml:space="preserve">Metalaxyl 35% WS </v>
          </cell>
          <cell r="D76" t="str">
            <v>Aaltaxyl</v>
          </cell>
          <cell r="E76" t="str">
            <v>100 GMS</v>
          </cell>
          <cell r="F76">
            <v>99.3</v>
          </cell>
          <cell r="G76">
            <v>18</v>
          </cell>
          <cell r="H76">
            <v>17.873999999999999</v>
          </cell>
          <cell r="I76">
            <v>117.17399999999999</v>
          </cell>
        </row>
        <row r="77">
          <cell r="B77" t="str">
            <v>Agastya</v>
          </cell>
          <cell r="C77" t="str">
            <v xml:space="preserve">Metalaxyl 35% WS </v>
          </cell>
          <cell r="D77" t="str">
            <v>Aaltaxyl</v>
          </cell>
          <cell r="E77" t="str">
            <v>250 GMS</v>
          </cell>
          <cell r="F77">
            <v>243.25</v>
          </cell>
          <cell r="G77">
            <v>18</v>
          </cell>
          <cell r="H77">
            <v>43.784999999999997</v>
          </cell>
          <cell r="I77">
            <v>287.03499999999997</v>
          </cell>
        </row>
        <row r="78">
          <cell r="B78" t="str">
            <v>Agastya</v>
          </cell>
          <cell r="C78" t="str">
            <v xml:space="preserve">Metalaxyl 35% WS </v>
          </cell>
          <cell r="D78" t="str">
            <v>Aaltaxyl</v>
          </cell>
          <cell r="E78" t="str">
            <v>10 GMS</v>
          </cell>
          <cell r="F78">
            <v>16.43</v>
          </cell>
          <cell r="G78">
            <v>18</v>
          </cell>
          <cell r="H78">
            <v>2.9573999999999998</v>
          </cell>
          <cell r="I78">
            <v>19.3874</v>
          </cell>
        </row>
        <row r="79">
          <cell r="B79" t="str">
            <v>Agastya</v>
          </cell>
          <cell r="C79" t="str">
            <v xml:space="preserve">Metalaxyl 35% WS </v>
          </cell>
          <cell r="D79" t="str">
            <v>Aaltaxyl</v>
          </cell>
          <cell r="E79" t="str">
            <v>50 GMS</v>
          </cell>
          <cell r="F79">
            <v>58.65</v>
          </cell>
          <cell r="G79">
            <v>18</v>
          </cell>
          <cell r="H79">
            <v>10.556999999999999</v>
          </cell>
          <cell r="I79">
            <v>69.206999999999994</v>
          </cell>
        </row>
        <row r="80">
          <cell r="B80" t="str">
            <v>Agastya</v>
          </cell>
          <cell r="C80" t="str">
            <v>Cartap Hydrochloride 50% SP</v>
          </cell>
          <cell r="D80" t="str">
            <v>Aaltrap</v>
          </cell>
          <cell r="E80" t="str">
            <v>1000 GMS</v>
          </cell>
          <cell r="F80">
            <v>1047</v>
          </cell>
          <cell r="G80">
            <v>18</v>
          </cell>
          <cell r="H80">
            <v>188.45999999999998</v>
          </cell>
          <cell r="I80">
            <v>1235.46</v>
          </cell>
        </row>
        <row r="81">
          <cell r="B81" t="str">
            <v>Agastya</v>
          </cell>
          <cell r="C81" t="str">
            <v>Cartap Hydrochloride 50% SP</v>
          </cell>
          <cell r="D81" t="str">
            <v>Aaltrap</v>
          </cell>
          <cell r="E81" t="str">
            <v>500 GMS</v>
          </cell>
          <cell r="F81">
            <v>528.5</v>
          </cell>
          <cell r="G81">
            <v>18</v>
          </cell>
          <cell r="H81">
            <v>95.13</v>
          </cell>
          <cell r="I81">
            <v>623.63</v>
          </cell>
        </row>
        <row r="82">
          <cell r="B82" t="str">
            <v>Agastya</v>
          </cell>
          <cell r="C82" t="str">
            <v>Cartap Hydrochloride 50% SP</v>
          </cell>
          <cell r="D82" t="str">
            <v>Aaltrap</v>
          </cell>
          <cell r="E82" t="str">
            <v>250 GMS</v>
          </cell>
          <cell r="F82">
            <v>269.25</v>
          </cell>
          <cell r="G82">
            <v>18</v>
          </cell>
          <cell r="H82">
            <v>48.464999999999996</v>
          </cell>
          <cell r="I82">
            <v>317.71499999999997</v>
          </cell>
        </row>
        <row r="83">
          <cell r="B83" t="str">
            <v>Agastya</v>
          </cell>
          <cell r="C83" t="str">
            <v>Cartap Hydrochloride 50% SP</v>
          </cell>
          <cell r="D83" t="str">
            <v>Aaltrap</v>
          </cell>
          <cell r="E83" t="str">
            <v>50 GMS</v>
          </cell>
          <cell r="F83">
            <v>56.85</v>
          </cell>
          <cell r="G83">
            <v>18</v>
          </cell>
          <cell r="H83">
            <v>10.233000000000001</v>
          </cell>
          <cell r="I83">
            <v>67.082999999999998</v>
          </cell>
        </row>
        <row r="84">
          <cell r="B84" t="str">
            <v>Agastya</v>
          </cell>
          <cell r="C84" t="str">
            <v>Cartap Hydrochloride 50% SP</v>
          </cell>
          <cell r="D84" t="str">
            <v>Aaltrap</v>
          </cell>
          <cell r="E84" t="str">
            <v>100 GMS</v>
          </cell>
          <cell r="F84">
            <v>110.7</v>
          </cell>
          <cell r="G84">
            <v>18</v>
          </cell>
          <cell r="H84">
            <v>19.925999999999998</v>
          </cell>
          <cell r="I84">
            <v>130.626</v>
          </cell>
        </row>
        <row r="85">
          <cell r="B85" t="str">
            <v>Agastya</v>
          </cell>
          <cell r="C85" t="str">
            <v>Azoxystrobin 11% EW + Tebuconazole 18.3% SC</v>
          </cell>
          <cell r="D85" t="str">
            <v>Aaltrump</v>
          </cell>
          <cell r="E85" t="str">
            <v>1000 ML</v>
          </cell>
          <cell r="F85">
            <v>1028</v>
          </cell>
          <cell r="G85">
            <v>18</v>
          </cell>
          <cell r="H85">
            <v>185.04</v>
          </cell>
          <cell r="I85">
            <v>1213.04</v>
          </cell>
        </row>
        <row r="86">
          <cell r="B86" t="str">
            <v>Agastya</v>
          </cell>
          <cell r="C86" t="str">
            <v>Azoxystrobin 11% EW + Tebuconazole 18.3% SC</v>
          </cell>
          <cell r="D86" t="str">
            <v>Aaltrump</v>
          </cell>
          <cell r="E86" t="str">
            <v>500 ML</v>
          </cell>
          <cell r="F86">
            <v>521.5</v>
          </cell>
          <cell r="G86">
            <v>18</v>
          </cell>
          <cell r="H86">
            <v>93.86999999999999</v>
          </cell>
          <cell r="I86">
            <v>615.37</v>
          </cell>
        </row>
        <row r="87">
          <cell r="B87" t="str">
            <v>Agastya</v>
          </cell>
          <cell r="C87" t="str">
            <v>Azoxystrobin 11% EW + Tebuconazole 18.3% SC</v>
          </cell>
          <cell r="D87" t="str">
            <v>Aaltrump</v>
          </cell>
          <cell r="E87" t="str">
            <v>250 ML</v>
          </cell>
          <cell r="F87">
            <v>277</v>
          </cell>
          <cell r="G87">
            <v>18</v>
          </cell>
          <cell r="H87">
            <v>49.86</v>
          </cell>
          <cell r="I87">
            <v>326.86</v>
          </cell>
        </row>
        <row r="88">
          <cell r="B88" t="str">
            <v>Agastya</v>
          </cell>
          <cell r="C88" t="str">
            <v>Azoxystrobin 11% EW + Tebuconazole 18.3% SC</v>
          </cell>
          <cell r="D88" t="str">
            <v>Aaltrump</v>
          </cell>
          <cell r="E88" t="str">
            <v>100 ML</v>
          </cell>
          <cell r="F88">
            <v>113.8</v>
          </cell>
          <cell r="G88">
            <v>18</v>
          </cell>
          <cell r="H88">
            <v>20.483999999999998</v>
          </cell>
          <cell r="I88">
            <v>134.28399999999999</v>
          </cell>
        </row>
        <row r="89">
          <cell r="B89" t="str">
            <v>Agastya</v>
          </cell>
          <cell r="C89" t="str">
            <v xml:space="preserve">Indoxacarb 14.5% SC </v>
          </cell>
          <cell r="D89" t="str">
            <v>Aalwant</v>
          </cell>
          <cell r="E89" t="str">
            <v>1000 ML</v>
          </cell>
          <cell r="F89">
            <v>2557</v>
          </cell>
          <cell r="G89">
            <v>18</v>
          </cell>
          <cell r="H89">
            <v>460.26</v>
          </cell>
          <cell r="I89">
            <v>3017.26</v>
          </cell>
        </row>
        <row r="90">
          <cell r="B90" t="str">
            <v>Agastya</v>
          </cell>
          <cell r="C90" t="str">
            <v xml:space="preserve">Indoxacarb 14.5% SC </v>
          </cell>
          <cell r="D90" t="str">
            <v>Aalwant</v>
          </cell>
          <cell r="E90" t="str">
            <v>500 ML</v>
          </cell>
          <cell r="F90">
            <v>1294</v>
          </cell>
          <cell r="G90">
            <v>18</v>
          </cell>
          <cell r="H90">
            <v>232.92</v>
          </cell>
          <cell r="I90">
            <v>1526.92</v>
          </cell>
        </row>
        <row r="91">
          <cell r="B91" t="str">
            <v>Agastya</v>
          </cell>
          <cell r="C91" t="str">
            <v xml:space="preserve">Indoxacarb 14.5% SC </v>
          </cell>
          <cell r="D91" t="str">
            <v>Aalwant</v>
          </cell>
          <cell r="E91" t="str">
            <v>200 ML</v>
          </cell>
          <cell r="F91">
            <v>520</v>
          </cell>
          <cell r="G91">
            <v>18</v>
          </cell>
          <cell r="H91">
            <v>93.6</v>
          </cell>
          <cell r="I91">
            <v>613.6</v>
          </cell>
        </row>
        <row r="92">
          <cell r="B92" t="str">
            <v>Agastya</v>
          </cell>
          <cell r="C92" t="str">
            <v xml:space="preserve">Indoxacarb 14.5% SC </v>
          </cell>
          <cell r="D92" t="str">
            <v>Aalwant</v>
          </cell>
          <cell r="E92" t="str">
            <v>100 ML</v>
          </cell>
          <cell r="F92">
            <v>268</v>
          </cell>
          <cell r="G92">
            <v>18</v>
          </cell>
          <cell r="H92">
            <v>48.239999999999995</v>
          </cell>
          <cell r="I92">
            <v>316.24</v>
          </cell>
        </row>
        <row r="93">
          <cell r="B93" t="str">
            <v>Agastya</v>
          </cell>
          <cell r="C93" t="str">
            <v xml:space="preserve">Indoxacarb 14.5% SC </v>
          </cell>
          <cell r="D93" t="str">
            <v>Aalwant</v>
          </cell>
          <cell r="E93" t="str">
            <v>50 ML</v>
          </cell>
          <cell r="F93">
            <v>135.35</v>
          </cell>
          <cell r="G93">
            <v>18</v>
          </cell>
          <cell r="H93">
            <v>24.363</v>
          </cell>
          <cell r="I93">
            <v>159.71299999999999</v>
          </cell>
        </row>
        <row r="94">
          <cell r="B94" t="str">
            <v>Agastya</v>
          </cell>
          <cell r="C94" t="str">
            <v>Propiconazole 25% EC</v>
          </cell>
          <cell r="D94" t="str">
            <v>Aalzole</v>
          </cell>
          <cell r="E94" t="str">
            <v>100 ML</v>
          </cell>
          <cell r="F94">
            <v>69.7</v>
          </cell>
          <cell r="G94">
            <v>18</v>
          </cell>
          <cell r="H94">
            <v>12.545999999999999</v>
          </cell>
          <cell r="I94">
            <v>82.246000000000009</v>
          </cell>
        </row>
        <row r="95">
          <cell r="B95" t="str">
            <v>Agastya</v>
          </cell>
          <cell r="C95" t="str">
            <v>Propiconazole 25% EC</v>
          </cell>
          <cell r="D95" t="str">
            <v>Aalzole</v>
          </cell>
          <cell r="E95" t="str">
            <v>1000 ML</v>
          </cell>
          <cell r="F95">
            <v>617</v>
          </cell>
          <cell r="G95">
            <v>18</v>
          </cell>
          <cell r="H95">
            <v>111.06</v>
          </cell>
          <cell r="I95">
            <v>728.06</v>
          </cell>
        </row>
        <row r="96">
          <cell r="B96" t="str">
            <v>Agastya</v>
          </cell>
          <cell r="C96" t="str">
            <v>Propiconazole 25% EC</v>
          </cell>
          <cell r="D96" t="str">
            <v>Aalzole</v>
          </cell>
          <cell r="E96" t="str">
            <v>5000 ML</v>
          </cell>
          <cell r="F96">
            <v>3060</v>
          </cell>
          <cell r="G96">
            <v>18</v>
          </cell>
          <cell r="H96">
            <v>550.79999999999995</v>
          </cell>
          <cell r="I96">
            <v>3610.8</v>
          </cell>
        </row>
        <row r="97">
          <cell r="B97" t="str">
            <v>Agastya</v>
          </cell>
          <cell r="C97" t="str">
            <v>Propiconazole 25% EC</v>
          </cell>
          <cell r="D97" t="str">
            <v>Aalzole</v>
          </cell>
          <cell r="E97" t="str">
            <v>500 ML</v>
          </cell>
          <cell r="F97">
            <v>318.5</v>
          </cell>
          <cell r="G97">
            <v>18</v>
          </cell>
          <cell r="H97">
            <v>57.33</v>
          </cell>
          <cell r="I97">
            <v>375.83</v>
          </cell>
        </row>
        <row r="98">
          <cell r="B98" t="str">
            <v>Agastya</v>
          </cell>
          <cell r="C98" t="str">
            <v>Propiconazole 25% EC</v>
          </cell>
          <cell r="D98" t="str">
            <v>Aalzole</v>
          </cell>
          <cell r="E98" t="str">
            <v>250 ML</v>
          </cell>
          <cell r="F98">
            <v>169.25</v>
          </cell>
          <cell r="G98">
            <v>18</v>
          </cell>
          <cell r="H98">
            <v>30.465</v>
          </cell>
          <cell r="I98">
            <v>199.715</v>
          </cell>
        </row>
        <row r="99">
          <cell r="B99" t="str">
            <v>Agastya</v>
          </cell>
          <cell r="C99" t="str">
            <v>Abamectin 1.9% EC</v>
          </cell>
          <cell r="D99" t="str">
            <v>Abamax</v>
          </cell>
          <cell r="E99" t="str">
            <v>250 ML</v>
          </cell>
          <cell r="F99">
            <v>700</v>
          </cell>
          <cell r="G99">
            <v>18</v>
          </cell>
          <cell r="H99">
            <v>126</v>
          </cell>
          <cell r="I99">
            <v>826</v>
          </cell>
        </row>
        <row r="100">
          <cell r="B100" t="str">
            <v>Agastya</v>
          </cell>
          <cell r="C100" t="str">
            <v>Abamectin 1.9% EC</v>
          </cell>
          <cell r="D100" t="str">
            <v>Abamax</v>
          </cell>
          <cell r="E100" t="str">
            <v>100 ML</v>
          </cell>
          <cell r="F100">
            <v>290</v>
          </cell>
          <cell r="G100">
            <v>18</v>
          </cell>
          <cell r="H100">
            <v>52.199999999999996</v>
          </cell>
          <cell r="I100">
            <v>342.2</v>
          </cell>
        </row>
        <row r="101">
          <cell r="B101" t="str">
            <v>Agastya</v>
          </cell>
          <cell r="C101" t="str">
            <v>Abamectin 1.9% EC</v>
          </cell>
          <cell r="D101" t="str">
            <v>Abamax</v>
          </cell>
          <cell r="E101" t="str">
            <v>50 ML</v>
          </cell>
          <cell r="F101">
            <v>155</v>
          </cell>
          <cell r="G101">
            <v>18</v>
          </cell>
          <cell r="H101">
            <v>27.9</v>
          </cell>
          <cell r="I101">
            <v>182.9</v>
          </cell>
        </row>
        <row r="102">
          <cell r="B102" t="str">
            <v>Agastya</v>
          </cell>
          <cell r="C102" t="str">
            <v>Boron 20%</v>
          </cell>
          <cell r="D102" t="str">
            <v>Agastya Boron 20%</v>
          </cell>
          <cell r="E102" t="str">
            <v>1000 GMS</v>
          </cell>
          <cell r="F102">
            <v>249</v>
          </cell>
          <cell r="G102">
            <v>18</v>
          </cell>
          <cell r="H102">
            <v>44.82</v>
          </cell>
          <cell r="I102">
            <v>293.82</v>
          </cell>
        </row>
        <row r="103">
          <cell r="B103" t="str">
            <v>Agastya</v>
          </cell>
          <cell r="C103" t="str">
            <v>Boron 20%</v>
          </cell>
          <cell r="D103" t="str">
            <v>Agastya Boron 20%</v>
          </cell>
          <cell r="E103" t="str">
            <v>500 GMS</v>
          </cell>
          <cell r="F103">
            <v>130</v>
          </cell>
          <cell r="G103">
            <v>18</v>
          </cell>
          <cell r="H103">
            <v>23.4</v>
          </cell>
          <cell r="I103">
            <v>153.4</v>
          </cell>
        </row>
        <row r="104">
          <cell r="B104" t="str">
            <v>Agastya</v>
          </cell>
          <cell r="C104" t="str">
            <v>Boron 20%</v>
          </cell>
          <cell r="D104" t="str">
            <v>Agastya Boron 20%</v>
          </cell>
          <cell r="E104" t="str">
            <v>250 GMS</v>
          </cell>
          <cell r="F104">
            <v>70</v>
          </cell>
          <cell r="G104">
            <v>18</v>
          </cell>
          <cell r="H104">
            <v>12.6</v>
          </cell>
          <cell r="I104">
            <v>82.6</v>
          </cell>
        </row>
        <row r="105">
          <cell r="B105" t="str">
            <v>Agastya</v>
          </cell>
          <cell r="C105" t="str">
            <v>Boron 20%</v>
          </cell>
          <cell r="D105" t="str">
            <v>Agastya Boron 20%</v>
          </cell>
          <cell r="E105" t="str">
            <v>100 GMS</v>
          </cell>
          <cell r="F105">
            <v>30</v>
          </cell>
          <cell r="G105">
            <v>18</v>
          </cell>
          <cell r="H105">
            <v>5.3999999999999995</v>
          </cell>
          <cell r="I105">
            <v>35.4</v>
          </cell>
        </row>
        <row r="106">
          <cell r="B106" t="str">
            <v>Agastya</v>
          </cell>
          <cell r="C106" t="str">
            <v>Bispyribac Sodium 10% SC</v>
          </cell>
          <cell r="D106" t="str">
            <v>Agastya Gold</v>
          </cell>
          <cell r="E106" t="str">
            <v>1000 ML</v>
          </cell>
          <cell r="F106">
            <v>1071</v>
          </cell>
          <cell r="G106">
            <v>18</v>
          </cell>
          <cell r="H106">
            <v>192.78</v>
          </cell>
          <cell r="I106">
            <v>1263.78</v>
          </cell>
        </row>
        <row r="107">
          <cell r="B107" t="str">
            <v>Agastya</v>
          </cell>
          <cell r="C107" t="str">
            <v>Bispyribac Sodium 10% SC</v>
          </cell>
          <cell r="D107" t="str">
            <v>Agastya Gold</v>
          </cell>
          <cell r="E107" t="str">
            <v>200 ML</v>
          </cell>
          <cell r="F107">
            <v>242.2</v>
          </cell>
          <cell r="G107">
            <v>18</v>
          </cell>
          <cell r="H107">
            <v>43.595999999999997</v>
          </cell>
          <cell r="I107">
            <v>285.79599999999999</v>
          </cell>
        </row>
        <row r="108">
          <cell r="B108" t="str">
            <v>Agastya</v>
          </cell>
          <cell r="C108" t="str">
            <v>Bispyribac Sodium 10% SC</v>
          </cell>
          <cell r="D108" t="str">
            <v>Agastya Gold</v>
          </cell>
          <cell r="E108" t="str">
            <v>500 ML</v>
          </cell>
          <cell r="F108">
            <v>555.5</v>
          </cell>
          <cell r="G108">
            <v>18</v>
          </cell>
          <cell r="H108">
            <v>99.99</v>
          </cell>
          <cell r="I108">
            <v>655.49</v>
          </cell>
        </row>
        <row r="109">
          <cell r="B109" t="str">
            <v>Agastya</v>
          </cell>
          <cell r="C109" t="str">
            <v>Bispyribac Sodium 10% SC</v>
          </cell>
          <cell r="D109" t="str">
            <v>Agastya Gold</v>
          </cell>
          <cell r="E109" t="str">
            <v>100 ML</v>
          </cell>
          <cell r="F109">
            <v>124.1</v>
          </cell>
          <cell r="G109">
            <v>18</v>
          </cell>
          <cell r="H109">
            <v>22.337999999999997</v>
          </cell>
          <cell r="I109">
            <v>146.43799999999999</v>
          </cell>
        </row>
        <row r="110">
          <cell r="B110" t="str">
            <v>Agastya</v>
          </cell>
          <cell r="C110" t="str">
            <v>Bispyribac Sodium 10% SC</v>
          </cell>
          <cell r="D110" t="str">
            <v>Agastya Gold</v>
          </cell>
          <cell r="E110" t="str">
            <v>50 ML</v>
          </cell>
          <cell r="F110">
            <v>67.05</v>
          </cell>
          <cell r="G110">
            <v>18</v>
          </cell>
          <cell r="H110">
            <v>12.068999999999999</v>
          </cell>
          <cell r="I110">
            <v>79.119</v>
          </cell>
        </row>
        <row r="111">
          <cell r="B111" t="str">
            <v>Agastya</v>
          </cell>
          <cell r="C111" t="str">
            <v>Bispyribac Sodium 10% SC</v>
          </cell>
          <cell r="D111" t="str">
            <v>Agastya Gold</v>
          </cell>
          <cell r="E111" t="str">
            <v>10 ML</v>
          </cell>
          <cell r="F111">
            <v>28</v>
          </cell>
          <cell r="G111">
            <v>18</v>
          </cell>
          <cell r="H111">
            <v>5.04</v>
          </cell>
          <cell r="I111">
            <v>33.04</v>
          </cell>
        </row>
        <row r="112">
          <cell r="B112" t="str">
            <v>Agastya</v>
          </cell>
          <cell r="C112" t="str">
            <v>Pyriproxyfen 5% + Diafenthiuron 25% SE</v>
          </cell>
          <cell r="D112" t="str">
            <v>Agastya Mig</v>
          </cell>
          <cell r="E112" t="str">
            <v>1000 ML</v>
          </cell>
          <cell r="F112">
            <v>1550</v>
          </cell>
          <cell r="G112">
            <v>18</v>
          </cell>
          <cell r="H112">
            <v>279</v>
          </cell>
          <cell r="I112">
            <v>1829</v>
          </cell>
        </row>
        <row r="113">
          <cell r="B113" t="str">
            <v>Agastya</v>
          </cell>
          <cell r="C113" t="str">
            <v>Pyriproxyfen 5% + Diafenthiuron 25% SE</v>
          </cell>
          <cell r="D113" t="str">
            <v>Agastya Mig</v>
          </cell>
          <cell r="E113" t="str">
            <v>500 ML</v>
          </cell>
          <cell r="F113">
            <v>800</v>
          </cell>
          <cell r="G113">
            <v>18</v>
          </cell>
          <cell r="H113">
            <v>144</v>
          </cell>
          <cell r="I113">
            <v>944</v>
          </cell>
        </row>
        <row r="114">
          <cell r="B114" t="str">
            <v>Agastya</v>
          </cell>
          <cell r="C114" t="str">
            <v>Pyriproxyfen 5% + Diafenthiuron 25% SE</v>
          </cell>
          <cell r="D114" t="str">
            <v>Agastya Mig</v>
          </cell>
          <cell r="E114" t="str">
            <v>250 ML</v>
          </cell>
          <cell r="F114">
            <v>413</v>
          </cell>
          <cell r="G114">
            <v>18</v>
          </cell>
          <cell r="H114">
            <v>74.34</v>
          </cell>
          <cell r="I114">
            <v>487.34000000000003</v>
          </cell>
        </row>
        <row r="115">
          <cell r="B115" t="str">
            <v>Agastya</v>
          </cell>
          <cell r="C115" t="str">
            <v>Pyriproxyfen 5% + Diafenthiuron 25% SE</v>
          </cell>
          <cell r="D115" t="str">
            <v>Agastya Mig</v>
          </cell>
          <cell r="E115" t="str">
            <v>100 ML</v>
          </cell>
          <cell r="F115">
            <v>170</v>
          </cell>
          <cell r="G115">
            <v>18</v>
          </cell>
          <cell r="H115">
            <v>30.599999999999998</v>
          </cell>
          <cell r="I115">
            <v>200.6</v>
          </cell>
        </row>
        <row r="116">
          <cell r="B116" t="str">
            <v>Agastya</v>
          </cell>
          <cell r="C116" t="str">
            <v>Novaluran 5.25% + Emamectin Benzoate 0.9% SC</v>
          </cell>
          <cell r="D116" t="str">
            <v>Agastya Naag</v>
          </cell>
          <cell r="E116" t="str">
            <v>1000 ML</v>
          </cell>
          <cell r="F116">
            <v>1441</v>
          </cell>
          <cell r="G116">
            <v>18</v>
          </cell>
          <cell r="H116">
            <v>259.38</v>
          </cell>
          <cell r="I116">
            <v>1700.38</v>
          </cell>
        </row>
        <row r="117">
          <cell r="B117" t="str">
            <v>Agastya</v>
          </cell>
          <cell r="C117" t="str">
            <v>Novaluran 5.25% + Emamectin Benzoate 0.9% SC</v>
          </cell>
          <cell r="D117" t="str">
            <v>Agastya Naag</v>
          </cell>
          <cell r="E117" t="str">
            <v>500 ML</v>
          </cell>
          <cell r="F117">
            <v>730.5</v>
          </cell>
          <cell r="G117">
            <v>18</v>
          </cell>
          <cell r="H117">
            <v>131.49</v>
          </cell>
          <cell r="I117">
            <v>861.99</v>
          </cell>
        </row>
        <row r="118">
          <cell r="B118" t="str">
            <v>Agastya</v>
          </cell>
          <cell r="C118" t="str">
            <v>Novaluran 5.25% + Emamectin Benzoate 0.9% SC</v>
          </cell>
          <cell r="D118" t="str">
            <v>Agastya Naag</v>
          </cell>
          <cell r="E118" t="str">
            <v>250 ML</v>
          </cell>
          <cell r="F118">
            <v>370.25</v>
          </cell>
          <cell r="G118">
            <v>18</v>
          </cell>
          <cell r="H118">
            <v>66.644999999999996</v>
          </cell>
          <cell r="I118">
            <v>436.89499999999998</v>
          </cell>
        </row>
        <row r="119">
          <cell r="B119" t="str">
            <v>Agastya</v>
          </cell>
          <cell r="C119" t="str">
            <v>Novaluran 5.25% + Emamectin Benzoate 0.9% SC</v>
          </cell>
          <cell r="D119" t="str">
            <v>Agastya Naag</v>
          </cell>
          <cell r="E119" t="str">
            <v>100 ML</v>
          </cell>
          <cell r="F119">
            <v>152.1</v>
          </cell>
          <cell r="G119">
            <v>18</v>
          </cell>
          <cell r="H119">
            <v>27.377999999999997</v>
          </cell>
          <cell r="I119">
            <v>179.47799999999998</v>
          </cell>
        </row>
        <row r="120">
          <cell r="B120" t="str">
            <v>Agastya</v>
          </cell>
          <cell r="C120" t="str">
            <v>Tricyclazole 18% + Mancozeb 62% WP</v>
          </cell>
          <cell r="D120" t="str">
            <v>Agastya Trigger</v>
          </cell>
          <cell r="E120" t="str">
            <v>1000 GMS</v>
          </cell>
          <cell r="F120">
            <v>885</v>
          </cell>
          <cell r="G120">
            <v>18</v>
          </cell>
          <cell r="H120">
            <v>159.29999999999998</v>
          </cell>
          <cell r="I120">
            <v>1044.3</v>
          </cell>
        </row>
        <row r="121">
          <cell r="B121" t="str">
            <v>Agastya</v>
          </cell>
          <cell r="C121" t="str">
            <v>Tricyclazole 18% + Mancozeb 62% WP</v>
          </cell>
          <cell r="D121" t="str">
            <v>Agastya Trigger</v>
          </cell>
          <cell r="E121" t="str">
            <v>500 GMS</v>
          </cell>
          <cell r="F121">
            <v>457</v>
          </cell>
          <cell r="G121">
            <v>18</v>
          </cell>
          <cell r="H121">
            <v>82.259999999999991</v>
          </cell>
          <cell r="I121">
            <v>539.26</v>
          </cell>
        </row>
        <row r="122">
          <cell r="B122" t="str">
            <v>Agastya</v>
          </cell>
          <cell r="C122" t="str">
            <v>Tricyclazole 18% + Mancozeb 62% WP</v>
          </cell>
          <cell r="D122" t="str">
            <v>Agastya Trigger</v>
          </cell>
          <cell r="E122" t="str">
            <v>250 GMS</v>
          </cell>
          <cell r="F122">
            <v>235</v>
          </cell>
          <cell r="G122">
            <v>18</v>
          </cell>
          <cell r="H122">
            <v>42.3</v>
          </cell>
          <cell r="I122">
            <v>277.3</v>
          </cell>
        </row>
        <row r="123">
          <cell r="B123" t="str">
            <v>Agastya</v>
          </cell>
          <cell r="C123" t="str">
            <v>Pyrithiobac Sodium 10% SC</v>
          </cell>
          <cell r="D123" t="str">
            <v>Agastya Weedoff</v>
          </cell>
          <cell r="E123" t="str">
            <v>1000 ML</v>
          </cell>
          <cell r="F123">
            <v>3039</v>
          </cell>
          <cell r="G123">
            <v>18</v>
          </cell>
          <cell r="H123">
            <v>547.02</v>
          </cell>
          <cell r="I123">
            <v>3586.02</v>
          </cell>
        </row>
        <row r="124">
          <cell r="B124" t="str">
            <v>Agastya</v>
          </cell>
          <cell r="C124" t="str">
            <v>Pyrithiobac Sodium 10% SC</v>
          </cell>
          <cell r="D124" t="str">
            <v>Agastya Weedoff</v>
          </cell>
          <cell r="E124" t="str">
            <v>500 ML</v>
          </cell>
          <cell r="F124">
            <v>1534.5</v>
          </cell>
          <cell r="G124">
            <v>18</v>
          </cell>
          <cell r="H124">
            <v>276.20999999999998</v>
          </cell>
          <cell r="I124">
            <v>1810.71</v>
          </cell>
        </row>
        <row r="125">
          <cell r="B125" t="str">
            <v>Agastya</v>
          </cell>
          <cell r="C125" t="str">
            <v>Pyrithiobac Sodium 10% SC</v>
          </cell>
          <cell r="D125" t="str">
            <v>Agastya Weedoff</v>
          </cell>
          <cell r="E125" t="str">
            <v>250 ML</v>
          </cell>
          <cell r="F125">
            <v>805</v>
          </cell>
          <cell r="G125">
            <v>18</v>
          </cell>
          <cell r="H125">
            <v>144.9</v>
          </cell>
          <cell r="I125">
            <v>949.9</v>
          </cell>
        </row>
        <row r="126">
          <cell r="B126" t="str">
            <v>Agastya</v>
          </cell>
          <cell r="C126" t="str">
            <v>Zineb 75% WP</v>
          </cell>
          <cell r="D126" t="str">
            <v>Agastya Z-75</v>
          </cell>
          <cell r="E126" t="str">
            <v>1000 GMS</v>
          </cell>
          <cell r="F126">
            <v>501</v>
          </cell>
          <cell r="G126">
            <v>18</v>
          </cell>
          <cell r="H126">
            <v>90.179999999999993</v>
          </cell>
          <cell r="I126">
            <v>591.17999999999995</v>
          </cell>
        </row>
        <row r="127">
          <cell r="B127" t="str">
            <v>Agastya</v>
          </cell>
          <cell r="C127" t="str">
            <v>Zineb 75% WP</v>
          </cell>
          <cell r="D127" t="str">
            <v>Agastya Z-75</v>
          </cell>
          <cell r="E127" t="str">
            <v>500 GMS</v>
          </cell>
          <cell r="F127">
            <v>256</v>
          </cell>
          <cell r="G127">
            <v>18</v>
          </cell>
          <cell r="H127">
            <v>46.08</v>
          </cell>
          <cell r="I127">
            <v>302.08</v>
          </cell>
        </row>
        <row r="128">
          <cell r="B128" t="str">
            <v>Agastya</v>
          </cell>
          <cell r="C128" t="str">
            <v>Zineb 75% WP</v>
          </cell>
          <cell r="D128" t="str">
            <v>Agastya Z-75</v>
          </cell>
          <cell r="E128" t="str">
            <v>250 GMS</v>
          </cell>
          <cell r="F128">
            <v>133</v>
          </cell>
          <cell r="G128">
            <v>18</v>
          </cell>
          <cell r="H128">
            <v>23.939999999999998</v>
          </cell>
          <cell r="I128">
            <v>156.94</v>
          </cell>
        </row>
        <row r="129">
          <cell r="B129" t="str">
            <v>Agastya</v>
          </cell>
          <cell r="C129" t="str">
            <v>EDTA Zinc 12%</v>
          </cell>
          <cell r="D129" t="str">
            <v>Agastya Zinc</v>
          </cell>
          <cell r="E129" t="str">
            <v>50 GMS</v>
          </cell>
          <cell r="F129">
            <v>32.35</v>
          </cell>
          <cell r="G129">
            <v>18</v>
          </cell>
          <cell r="H129">
            <v>5.8230000000000004</v>
          </cell>
          <cell r="I129">
            <v>38.173000000000002</v>
          </cell>
        </row>
        <row r="130">
          <cell r="B130" t="str">
            <v>Agastya</v>
          </cell>
          <cell r="C130" t="str">
            <v>EDTA Zinc 12%</v>
          </cell>
          <cell r="D130" t="str">
            <v>Agastya Zinc</v>
          </cell>
          <cell r="E130" t="str">
            <v>1000 GMS</v>
          </cell>
          <cell r="F130">
            <v>522</v>
          </cell>
          <cell r="G130">
            <v>18</v>
          </cell>
          <cell r="H130">
            <v>93.96</v>
          </cell>
          <cell r="I130">
            <v>615.96</v>
          </cell>
        </row>
        <row r="131">
          <cell r="B131" t="str">
            <v>Agastya</v>
          </cell>
          <cell r="C131" t="str">
            <v>EDTA Zinc 12%</v>
          </cell>
          <cell r="D131" t="str">
            <v>Agastya Zinc</v>
          </cell>
          <cell r="E131" t="str">
            <v>500 GMS</v>
          </cell>
          <cell r="F131">
            <v>266</v>
          </cell>
          <cell r="G131">
            <v>18</v>
          </cell>
          <cell r="H131">
            <v>47.879999999999995</v>
          </cell>
          <cell r="I131">
            <v>313.88</v>
          </cell>
        </row>
        <row r="132">
          <cell r="B132" t="str">
            <v>Agastya</v>
          </cell>
          <cell r="C132" t="str">
            <v>EDTA Zinc 12%</v>
          </cell>
          <cell r="D132" t="str">
            <v>Agastya Zinc</v>
          </cell>
          <cell r="E132" t="str">
            <v>200 GMS</v>
          </cell>
          <cell r="F132">
            <v>110.4</v>
          </cell>
          <cell r="G132">
            <v>18</v>
          </cell>
          <cell r="H132">
            <v>19.872</v>
          </cell>
          <cell r="I132">
            <v>130.27199999999999</v>
          </cell>
        </row>
        <row r="133">
          <cell r="B133" t="str">
            <v>Agastya</v>
          </cell>
          <cell r="C133" t="str">
            <v>EDTA Zinc 12%</v>
          </cell>
          <cell r="D133" t="str">
            <v>Agastya Zinc</v>
          </cell>
          <cell r="E133" t="str">
            <v>100 GMS</v>
          </cell>
          <cell r="F133">
            <v>57.2</v>
          </cell>
          <cell r="G133">
            <v>18</v>
          </cell>
          <cell r="H133">
            <v>10.295999999999999</v>
          </cell>
          <cell r="I133">
            <v>67.496000000000009</v>
          </cell>
        </row>
        <row r="134">
          <cell r="B134" t="str">
            <v>Agastya</v>
          </cell>
          <cell r="C134" t="str">
            <v>Potash Mobilizing BioFertilizer</v>
          </cell>
          <cell r="D134" t="str">
            <v>Ag-Potash</v>
          </cell>
          <cell r="E134" t="str">
            <v>1000 ML</v>
          </cell>
          <cell r="F134">
            <v>600</v>
          </cell>
          <cell r="G134">
            <v>18</v>
          </cell>
          <cell r="H134">
            <v>108</v>
          </cell>
          <cell r="I134">
            <v>708</v>
          </cell>
        </row>
        <row r="135">
          <cell r="B135" t="str">
            <v>Agastya</v>
          </cell>
          <cell r="C135" t="str">
            <v>Potash Mobilizing BioFertilizer</v>
          </cell>
          <cell r="D135" t="str">
            <v>Ag-Potash</v>
          </cell>
          <cell r="E135" t="str">
            <v>500 ML</v>
          </cell>
          <cell r="F135">
            <v>308</v>
          </cell>
          <cell r="G135">
            <v>18</v>
          </cell>
          <cell r="H135">
            <v>55.44</v>
          </cell>
          <cell r="I135">
            <v>363.44</v>
          </cell>
        </row>
        <row r="136">
          <cell r="B136" t="str">
            <v>Agastya</v>
          </cell>
          <cell r="C136" t="str">
            <v>Potash Mobilizing BioFertilizer</v>
          </cell>
          <cell r="D136" t="str">
            <v>Ag-Potash</v>
          </cell>
          <cell r="E136" t="str">
            <v>250 ML</v>
          </cell>
          <cell r="F136">
            <v>158</v>
          </cell>
          <cell r="G136">
            <v>18</v>
          </cell>
          <cell r="H136">
            <v>28.439999999999998</v>
          </cell>
          <cell r="I136">
            <v>186.44</v>
          </cell>
        </row>
        <row r="137">
          <cell r="B137" t="str">
            <v>Agastya</v>
          </cell>
          <cell r="C137" t="str">
            <v>Azoxystrobin 18.2% + Difenconazole 11.4% SC</v>
          </cell>
          <cell r="D137" t="str">
            <v>Ag-Top</v>
          </cell>
          <cell r="E137" t="str">
            <v>1000 ML</v>
          </cell>
          <cell r="F137">
            <v>1437</v>
          </cell>
          <cell r="G137">
            <v>18</v>
          </cell>
          <cell r="H137">
            <v>258.65999999999997</v>
          </cell>
          <cell r="I137">
            <v>1695.6599999999999</v>
          </cell>
        </row>
        <row r="138">
          <cell r="B138" t="str">
            <v>Agastya</v>
          </cell>
          <cell r="C138" t="str">
            <v>Azoxystrobin 18.2% + Difenconazole 11.4% SC</v>
          </cell>
          <cell r="D138" t="str">
            <v>Ag-Top</v>
          </cell>
          <cell r="E138" t="str">
            <v>500 ML</v>
          </cell>
          <cell r="F138">
            <v>726</v>
          </cell>
          <cell r="G138">
            <v>18</v>
          </cell>
          <cell r="H138">
            <v>130.68</v>
          </cell>
          <cell r="I138">
            <v>856.68000000000006</v>
          </cell>
        </row>
        <row r="139">
          <cell r="B139" t="str">
            <v>Agastya</v>
          </cell>
          <cell r="C139" t="str">
            <v>Azoxystrobin 18.2% + Difenconazole 11.4% SC</v>
          </cell>
          <cell r="D139" t="str">
            <v>Ag-Top</v>
          </cell>
          <cell r="E139" t="str">
            <v>200 ML</v>
          </cell>
          <cell r="F139">
            <v>293.39999999999998</v>
          </cell>
          <cell r="G139">
            <v>18</v>
          </cell>
          <cell r="H139">
            <v>52.811999999999991</v>
          </cell>
          <cell r="I139">
            <v>346.21199999999999</v>
          </cell>
        </row>
        <row r="140">
          <cell r="B140" t="str">
            <v>Agastya</v>
          </cell>
          <cell r="C140" t="str">
            <v>Azoxystrobin 18.2% + Difenconazole 11.4% SC</v>
          </cell>
          <cell r="D140" t="str">
            <v>Ag-Top</v>
          </cell>
          <cell r="E140" t="str">
            <v>100 ML</v>
          </cell>
          <cell r="F140">
            <v>151.19999999999999</v>
          </cell>
          <cell r="G140">
            <v>18</v>
          </cell>
          <cell r="H140">
            <v>27.215999999999998</v>
          </cell>
          <cell r="I140">
            <v>178.416</v>
          </cell>
        </row>
        <row r="141">
          <cell r="B141" t="str">
            <v>Agastya</v>
          </cell>
          <cell r="C141" t="str">
            <v>Penoxulam 2.67% OD</v>
          </cell>
          <cell r="D141" t="str">
            <v>Alert</v>
          </cell>
          <cell r="E141" t="str">
            <v>1000 ML</v>
          </cell>
          <cell r="F141">
            <v>1310</v>
          </cell>
          <cell r="G141">
            <v>18</v>
          </cell>
          <cell r="H141">
            <v>235.79999999999998</v>
          </cell>
          <cell r="I141">
            <v>1545.8</v>
          </cell>
        </row>
        <row r="142">
          <cell r="B142" t="str">
            <v>Agastya</v>
          </cell>
          <cell r="C142" t="str">
            <v>Penoxulam 2.67% OD</v>
          </cell>
          <cell r="D142" t="str">
            <v>Alert</v>
          </cell>
          <cell r="E142" t="str">
            <v>400 ML</v>
          </cell>
          <cell r="F142">
            <v>532</v>
          </cell>
          <cell r="G142">
            <v>18</v>
          </cell>
          <cell r="H142">
            <v>95.759999999999991</v>
          </cell>
          <cell r="I142">
            <v>627.76</v>
          </cell>
        </row>
        <row r="143">
          <cell r="B143" t="str">
            <v>Agastya</v>
          </cell>
          <cell r="C143" t="str">
            <v>CME 10% + MSM 10% WP</v>
          </cell>
          <cell r="D143" t="str">
            <v>A-Mix</v>
          </cell>
          <cell r="E143" t="str">
            <v>1000 GMS</v>
          </cell>
          <cell r="F143">
            <v>6875</v>
          </cell>
          <cell r="G143">
            <v>18</v>
          </cell>
          <cell r="H143">
            <v>1237.5</v>
          </cell>
          <cell r="I143">
            <v>8112.5</v>
          </cell>
        </row>
        <row r="144">
          <cell r="B144" t="str">
            <v>Agastya</v>
          </cell>
          <cell r="C144" t="str">
            <v>CME 10% + MSM 10% WP</v>
          </cell>
          <cell r="D144" t="str">
            <v>A-Mix</v>
          </cell>
          <cell r="E144" t="str">
            <v>8 GMS</v>
          </cell>
          <cell r="F144">
            <v>49</v>
          </cell>
          <cell r="G144">
            <v>18</v>
          </cell>
          <cell r="H144">
            <v>8.82</v>
          </cell>
          <cell r="I144">
            <v>57.82</v>
          </cell>
        </row>
        <row r="145">
          <cell r="B145" t="str">
            <v>Agastya</v>
          </cell>
          <cell r="C145" t="str">
            <v>CME 10% + MSM 10% WP</v>
          </cell>
          <cell r="D145" t="str">
            <v>A-Mix</v>
          </cell>
          <cell r="E145" t="str">
            <v>8 GMS</v>
          </cell>
          <cell r="F145">
            <v>49</v>
          </cell>
          <cell r="G145">
            <v>18</v>
          </cell>
          <cell r="H145">
            <v>8.82</v>
          </cell>
          <cell r="I145">
            <v>57.82</v>
          </cell>
        </row>
        <row r="146">
          <cell r="B146" t="str">
            <v>Agastya</v>
          </cell>
          <cell r="C146" t="str">
            <v>Diafenthiuron 50% WP</v>
          </cell>
          <cell r="D146" t="str">
            <v>Apollo</v>
          </cell>
          <cell r="E146" t="str">
            <v>500 GMS</v>
          </cell>
          <cell r="F146">
            <v>634</v>
          </cell>
          <cell r="G146">
            <v>18</v>
          </cell>
          <cell r="H146">
            <v>114.11999999999999</v>
          </cell>
          <cell r="I146">
            <v>748.12</v>
          </cell>
        </row>
        <row r="147">
          <cell r="B147" t="str">
            <v>Agastya</v>
          </cell>
          <cell r="C147" t="str">
            <v>Diafenthiuron 50% WP</v>
          </cell>
          <cell r="D147" t="str">
            <v>Apollo</v>
          </cell>
          <cell r="E147" t="str">
            <v>1000 GMS</v>
          </cell>
          <cell r="F147">
            <v>1248</v>
          </cell>
          <cell r="G147">
            <v>18</v>
          </cell>
          <cell r="H147">
            <v>224.64</v>
          </cell>
          <cell r="I147">
            <v>1472.6399999999999</v>
          </cell>
        </row>
        <row r="148">
          <cell r="B148" t="str">
            <v>Agastya</v>
          </cell>
          <cell r="C148" t="str">
            <v>Diafenthiuron 50% WP</v>
          </cell>
          <cell r="D148" t="str">
            <v>Apollo</v>
          </cell>
          <cell r="E148" t="str">
            <v>250 GMS</v>
          </cell>
          <cell r="F148">
            <v>324.5</v>
          </cell>
          <cell r="G148">
            <v>18</v>
          </cell>
          <cell r="H148">
            <v>58.41</v>
          </cell>
          <cell r="I148">
            <v>382.90999999999997</v>
          </cell>
        </row>
        <row r="149">
          <cell r="B149" t="str">
            <v>Agastya</v>
          </cell>
          <cell r="C149" t="str">
            <v>Quizalofop Ethyl 10% EC</v>
          </cell>
          <cell r="D149" t="str">
            <v>As Gold</v>
          </cell>
          <cell r="E149" t="str">
            <v>100 ML</v>
          </cell>
          <cell r="F149">
            <v>113</v>
          </cell>
          <cell r="G149">
            <v>18</v>
          </cell>
          <cell r="H149">
            <v>20.34</v>
          </cell>
          <cell r="I149">
            <v>133.34</v>
          </cell>
        </row>
        <row r="150">
          <cell r="B150" t="str">
            <v>Agastya</v>
          </cell>
          <cell r="C150" t="str">
            <v>Quizalofop Ethyl 10% EC</v>
          </cell>
          <cell r="D150" t="str">
            <v>As Gold</v>
          </cell>
          <cell r="E150" t="str">
            <v>1000 ML</v>
          </cell>
          <cell r="F150">
            <v>1050</v>
          </cell>
          <cell r="G150">
            <v>18</v>
          </cell>
          <cell r="H150">
            <v>189</v>
          </cell>
          <cell r="I150">
            <v>1239</v>
          </cell>
        </row>
        <row r="151">
          <cell r="B151" t="str">
            <v>Agastya</v>
          </cell>
          <cell r="C151" t="str">
            <v>Quizalofop Ethyl 10% EC</v>
          </cell>
          <cell r="D151" t="str">
            <v>As Gold</v>
          </cell>
          <cell r="E151" t="str">
            <v>500 ML</v>
          </cell>
          <cell r="F151">
            <v>535</v>
          </cell>
          <cell r="G151">
            <v>18</v>
          </cell>
          <cell r="H151">
            <v>96.3</v>
          </cell>
          <cell r="I151">
            <v>631.29999999999995</v>
          </cell>
        </row>
        <row r="152">
          <cell r="B152" t="str">
            <v>Agastya</v>
          </cell>
          <cell r="C152" t="str">
            <v>Quizalofop Ethyl 10% EC</v>
          </cell>
          <cell r="D152" t="str">
            <v>As Gold</v>
          </cell>
          <cell r="E152" t="str">
            <v>250 ML</v>
          </cell>
          <cell r="F152">
            <v>272.5</v>
          </cell>
          <cell r="G152">
            <v>18</v>
          </cell>
          <cell r="H152">
            <v>49.05</v>
          </cell>
          <cell r="I152">
            <v>321.55</v>
          </cell>
        </row>
        <row r="153">
          <cell r="B153" t="str">
            <v>Agastya</v>
          </cell>
          <cell r="C153" t="str">
            <v>Diafenthiuron 40.1% + Acetamiprid 3.9% WP</v>
          </cell>
          <cell r="D153" t="str">
            <v>Atlas</v>
          </cell>
          <cell r="E153" t="str">
            <v>100 GMS</v>
          </cell>
          <cell r="F153">
            <v>200</v>
          </cell>
          <cell r="G153">
            <v>18</v>
          </cell>
          <cell r="H153">
            <v>36</v>
          </cell>
          <cell r="I153">
            <v>236</v>
          </cell>
        </row>
        <row r="154">
          <cell r="B154" t="str">
            <v>Agastya</v>
          </cell>
          <cell r="C154" t="str">
            <v>Diafenthiuron 40.1% + Acetamiprid 3.9% WP</v>
          </cell>
          <cell r="D154" t="str">
            <v>Atlas</v>
          </cell>
          <cell r="E154" t="str">
            <v>50 GMS</v>
          </cell>
          <cell r="F154">
            <v>103.75</v>
          </cell>
          <cell r="G154">
            <v>18</v>
          </cell>
          <cell r="H154">
            <v>18.675000000000001</v>
          </cell>
          <cell r="I154">
            <v>122.425</v>
          </cell>
        </row>
        <row r="155">
          <cell r="B155" t="str">
            <v>Agastya</v>
          </cell>
          <cell r="C155" t="str">
            <v>Diafenthiuron 40.1% + Acetamiprid 3.9% WP</v>
          </cell>
          <cell r="D155" t="str">
            <v>Atlas</v>
          </cell>
          <cell r="E155" t="str">
            <v>500 GMS</v>
          </cell>
          <cell r="F155">
            <v>980</v>
          </cell>
          <cell r="G155">
            <v>18</v>
          </cell>
          <cell r="H155">
            <v>176.4</v>
          </cell>
          <cell r="I155">
            <v>1156.4000000000001</v>
          </cell>
        </row>
        <row r="156">
          <cell r="B156" t="str">
            <v>Agastya</v>
          </cell>
          <cell r="C156" t="str">
            <v>Diafenthiuron 40.1% + Acetamiprid 3.9% WP</v>
          </cell>
          <cell r="D156" t="str">
            <v>Atlas</v>
          </cell>
          <cell r="E156" t="str">
            <v>250 GMS</v>
          </cell>
          <cell r="F156">
            <v>495</v>
          </cell>
          <cell r="G156">
            <v>18</v>
          </cell>
          <cell r="H156">
            <v>89.1</v>
          </cell>
          <cell r="I156">
            <v>584.1</v>
          </cell>
        </row>
        <row r="157">
          <cell r="B157" t="str">
            <v>Agastya</v>
          </cell>
          <cell r="C157" t="str">
            <v>Azoxystrobin 18.2% + Difenconazole 11.4% SC</v>
          </cell>
          <cell r="D157" t="str">
            <v>A-Top</v>
          </cell>
          <cell r="E157" t="str">
            <v>1000 ML</v>
          </cell>
          <cell r="F157">
            <v>1437</v>
          </cell>
          <cell r="G157">
            <v>18</v>
          </cell>
          <cell r="H157">
            <v>258.65999999999997</v>
          </cell>
          <cell r="I157">
            <v>1695.6599999999999</v>
          </cell>
        </row>
        <row r="158">
          <cell r="B158" t="str">
            <v>Agastya</v>
          </cell>
          <cell r="C158" t="str">
            <v>Azoxystrobin 18.2% + Difenconazole 11.4% SC</v>
          </cell>
          <cell r="D158" t="str">
            <v>A-Top</v>
          </cell>
          <cell r="E158" t="str">
            <v>200 ML</v>
          </cell>
          <cell r="F158">
            <v>293.39999999999998</v>
          </cell>
          <cell r="G158">
            <v>18</v>
          </cell>
          <cell r="H158">
            <v>52.811999999999991</v>
          </cell>
          <cell r="I158">
            <v>346.21199999999999</v>
          </cell>
        </row>
        <row r="159">
          <cell r="B159" t="str">
            <v>Agastya</v>
          </cell>
          <cell r="C159" t="str">
            <v>Azoxystrobin 18.2% + Difenconazole 11.4% SC</v>
          </cell>
          <cell r="D159" t="str">
            <v>A-Top</v>
          </cell>
          <cell r="E159" t="str">
            <v>500 ML</v>
          </cell>
          <cell r="F159">
            <v>726</v>
          </cell>
          <cell r="G159">
            <v>18</v>
          </cell>
          <cell r="H159">
            <v>130.68</v>
          </cell>
          <cell r="I159">
            <v>856.68000000000006</v>
          </cell>
        </row>
        <row r="160">
          <cell r="B160" t="str">
            <v>Agastya</v>
          </cell>
          <cell r="C160" t="str">
            <v>Azoxystrobin 18.2% + Difenconazole 11.4% SC</v>
          </cell>
          <cell r="D160" t="str">
            <v>A-Top</v>
          </cell>
          <cell r="E160" t="str">
            <v>100 ML</v>
          </cell>
          <cell r="F160">
            <v>151.19999999999999</v>
          </cell>
          <cell r="G160">
            <v>18</v>
          </cell>
          <cell r="H160">
            <v>27.215999999999998</v>
          </cell>
          <cell r="I160">
            <v>178.416</v>
          </cell>
        </row>
        <row r="161">
          <cell r="B161" t="str">
            <v>Agastya</v>
          </cell>
          <cell r="C161" t="str">
            <v>Pretilachlor 6% + Bensulfuron Methyl 0.6% GR</v>
          </cell>
          <cell r="D161" t="str">
            <v>Bensulf Power</v>
          </cell>
          <cell r="E161" t="str">
            <v>4000 GMS</v>
          </cell>
          <cell r="F161">
            <v>582</v>
          </cell>
          <cell r="G161">
            <v>18</v>
          </cell>
          <cell r="H161">
            <v>104.75999999999999</v>
          </cell>
          <cell r="I161">
            <v>686.76</v>
          </cell>
        </row>
        <row r="162">
          <cell r="B162" t="str">
            <v>Agastya</v>
          </cell>
          <cell r="C162" t="str">
            <v>Fipronil 40% + Imidacloprid 40% WG</v>
          </cell>
          <cell r="D162" t="str">
            <v>Bigboss</v>
          </cell>
          <cell r="E162" t="str">
            <v>40 GMS</v>
          </cell>
          <cell r="F162">
            <v>195.16</v>
          </cell>
          <cell r="G162">
            <v>18</v>
          </cell>
          <cell r="H162">
            <v>35.128799999999998</v>
          </cell>
          <cell r="I162">
            <v>230.28879999999998</v>
          </cell>
        </row>
        <row r="163">
          <cell r="B163" t="str">
            <v>Agastya</v>
          </cell>
          <cell r="C163" t="str">
            <v>Fipronil 40% + Imidacloprid 40% WG</v>
          </cell>
          <cell r="D163" t="str">
            <v>Bigboss</v>
          </cell>
          <cell r="E163" t="str">
            <v>100 GMS</v>
          </cell>
          <cell r="F163">
            <v>469.9</v>
          </cell>
          <cell r="G163">
            <v>18</v>
          </cell>
          <cell r="H163">
            <v>84.581999999999994</v>
          </cell>
          <cell r="I163">
            <v>554.48199999999997</v>
          </cell>
        </row>
        <row r="164">
          <cell r="B164" t="str">
            <v>Agastya</v>
          </cell>
          <cell r="C164" t="str">
            <v>Fipronil 40% + Imidacloprid 40% WG</v>
          </cell>
          <cell r="D164" t="str">
            <v>Bigboss</v>
          </cell>
          <cell r="E164" t="str">
            <v>250 GMS</v>
          </cell>
          <cell r="F164">
            <v>1157.25</v>
          </cell>
          <cell r="G164">
            <v>18</v>
          </cell>
          <cell r="H164">
            <v>208.30499999999998</v>
          </cell>
          <cell r="I164">
            <v>1365.5550000000001</v>
          </cell>
        </row>
        <row r="165">
          <cell r="B165" t="str">
            <v>Agastya</v>
          </cell>
          <cell r="C165" t="str">
            <v>Fipronil 40% + Imidacloprid 40% WG</v>
          </cell>
          <cell r="D165" t="str">
            <v>Bigboss</v>
          </cell>
          <cell r="E165" t="str">
            <v>1000 GMS</v>
          </cell>
          <cell r="F165">
            <v>4529</v>
          </cell>
          <cell r="G165">
            <v>18</v>
          </cell>
          <cell r="H165">
            <v>815.21999999999991</v>
          </cell>
          <cell r="I165">
            <v>5344.22</v>
          </cell>
        </row>
        <row r="166">
          <cell r="B166" t="str">
            <v>Agastya</v>
          </cell>
          <cell r="C166" t="str">
            <v>Topramezone 336 SC</v>
          </cell>
          <cell r="D166" t="str">
            <v>Blazer</v>
          </cell>
          <cell r="E166" t="str">
            <v>30 ML</v>
          </cell>
          <cell r="F166">
            <v>770</v>
          </cell>
          <cell r="G166">
            <v>18</v>
          </cell>
          <cell r="H166">
            <v>138.6</v>
          </cell>
          <cell r="I166">
            <v>908.6</v>
          </cell>
        </row>
        <row r="167">
          <cell r="B167" t="str">
            <v>Agastya</v>
          </cell>
          <cell r="C167" t="str">
            <v>Topramezone 336 SC</v>
          </cell>
          <cell r="D167" t="str">
            <v>Blazer</v>
          </cell>
          <cell r="E167" t="str">
            <v>15 ML</v>
          </cell>
          <cell r="F167">
            <v>405</v>
          </cell>
          <cell r="G167">
            <v>18</v>
          </cell>
          <cell r="H167">
            <v>72.899999999999991</v>
          </cell>
          <cell r="I167">
            <v>477.9</v>
          </cell>
        </row>
        <row r="168">
          <cell r="B168" t="str">
            <v>Agastya</v>
          </cell>
          <cell r="C168" t="str">
            <v>Imidacloprid 70% WG</v>
          </cell>
          <cell r="D168" t="str">
            <v>Boss</v>
          </cell>
          <cell r="E168" t="str">
            <v>30 GMS</v>
          </cell>
          <cell r="F168">
            <v>56.76</v>
          </cell>
          <cell r="G168">
            <v>18</v>
          </cell>
          <cell r="H168">
            <v>10.216799999999999</v>
          </cell>
          <cell r="I168">
            <v>66.976799999999997</v>
          </cell>
        </row>
        <row r="169">
          <cell r="B169" t="str">
            <v>Agastya</v>
          </cell>
          <cell r="C169" t="str">
            <v>Imidacloprid 70% WG</v>
          </cell>
          <cell r="D169" t="str">
            <v>Boss</v>
          </cell>
          <cell r="E169" t="str">
            <v>150 GMS</v>
          </cell>
          <cell r="F169">
            <v>273.3</v>
          </cell>
          <cell r="G169">
            <v>18</v>
          </cell>
          <cell r="H169">
            <v>49.194000000000003</v>
          </cell>
          <cell r="I169">
            <v>322.49400000000003</v>
          </cell>
        </row>
        <row r="170">
          <cell r="B170" t="str">
            <v>Agastya</v>
          </cell>
          <cell r="C170" t="str">
            <v>Imidacloprid 70% WG</v>
          </cell>
          <cell r="D170" t="str">
            <v>Boss</v>
          </cell>
          <cell r="E170" t="str">
            <v>75 GMS</v>
          </cell>
          <cell r="F170">
            <v>137.4</v>
          </cell>
          <cell r="G170">
            <v>18</v>
          </cell>
          <cell r="H170">
            <v>24.731999999999999</v>
          </cell>
          <cell r="I170">
            <v>162.13200000000001</v>
          </cell>
        </row>
        <row r="171">
          <cell r="B171" t="str">
            <v>Agastya</v>
          </cell>
          <cell r="C171" t="str">
            <v>Imidacloprid 70% WG</v>
          </cell>
          <cell r="D171" t="str">
            <v>Boss</v>
          </cell>
          <cell r="E171" t="str">
            <v>1000 GMS</v>
          </cell>
          <cell r="F171">
            <v>1712</v>
          </cell>
          <cell r="G171">
            <v>18</v>
          </cell>
          <cell r="H171">
            <v>308.15999999999997</v>
          </cell>
          <cell r="I171">
            <v>2020.1599999999999</v>
          </cell>
        </row>
        <row r="172">
          <cell r="B172" t="str">
            <v>Agastya</v>
          </cell>
          <cell r="C172" t="str">
            <v>Imidacloprid 70% WG</v>
          </cell>
          <cell r="D172" t="str">
            <v>Boss</v>
          </cell>
          <cell r="E172" t="str">
            <v>300 GMS</v>
          </cell>
          <cell r="F172">
            <v>531</v>
          </cell>
          <cell r="G172">
            <v>18</v>
          </cell>
          <cell r="H172">
            <v>95.58</v>
          </cell>
          <cell r="I172">
            <v>626.58000000000004</v>
          </cell>
        </row>
        <row r="173">
          <cell r="B173" t="str">
            <v>Agastya</v>
          </cell>
          <cell r="C173" t="str">
            <v>Cymoxilin 8% + Mancozeb 64% WP</v>
          </cell>
          <cell r="D173" t="str">
            <v>Budget</v>
          </cell>
          <cell r="E173" t="str">
            <v>600 GMS</v>
          </cell>
          <cell r="F173">
            <v>392.4</v>
          </cell>
          <cell r="G173">
            <v>18</v>
          </cell>
          <cell r="H173">
            <v>70.631999999999991</v>
          </cell>
          <cell r="I173">
            <v>463.03199999999998</v>
          </cell>
        </row>
        <row r="174">
          <cell r="B174" t="str">
            <v>Agastya</v>
          </cell>
          <cell r="C174" t="str">
            <v>Cymoxilin 8% + Mancozeb 64% WP</v>
          </cell>
          <cell r="D174" t="str">
            <v>Budget</v>
          </cell>
          <cell r="E174" t="str">
            <v>300GMS</v>
          </cell>
          <cell r="F174">
            <v>202.2</v>
          </cell>
          <cell r="G174">
            <v>18</v>
          </cell>
          <cell r="H174">
            <v>36.395999999999994</v>
          </cell>
          <cell r="I174">
            <v>238.59599999999998</v>
          </cell>
        </row>
        <row r="175">
          <cell r="B175" t="str">
            <v>Agastya</v>
          </cell>
          <cell r="C175" t="str">
            <v>Cymoxilin 8% + Mancozeb 64% WP</v>
          </cell>
          <cell r="D175" t="str">
            <v>Budget</v>
          </cell>
          <cell r="E175" t="str">
            <v>100 GMS</v>
          </cell>
          <cell r="F175">
            <v>74.400000000000006</v>
          </cell>
          <cell r="G175">
            <v>18</v>
          </cell>
          <cell r="H175">
            <v>13.392000000000001</v>
          </cell>
          <cell r="I175">
            <v>87.792000000000002</v>
          </cell>
        </row>
        <row r="176">
          <cell r="B176" t="str">
            <v>Agastya</v>
          </cell>
          <cell r="C176" t="str">
            <v>Fipronil 80% WG</v>
          </cell>
          <cell r="D176" t="str">
            <v>Bumper</v>
          </cell>
          <cell r="E176" t="str">
            <v>100 GMS</v>
          </cell>
          <cell r="F176">
            <v>1010</v>
          </cell>
          <cell r="G176">
            <v>18</v>
          </cell>
          <cell r="H176">
            <v>181.79999999999998</v>
          </cell>
          <cell r="I176">
            <v>1191.8</v>
          </cell>
        </row>
        <row r="177">
          <cell r="B177" t="str">
            <v>Agastya</v>
          </cell>
          <cell r="C177" t="str">
            <v>Fipronil 80% WG</v>
          </cell>
          <cell r="D177" t="str">
            <v>Bumper</v>
          </cell>
          <cell r="E177" t="str">
            <v>40 GMS</v>
          </cell>
          <cell r="F177">
            <v>447</v>
          </cell>
          <cell r="G177">
            <v>18</v>
          </cell>
          <cell r="H177">
            <v>80.459999999999994</v>
          </cell>
          <cell r="I177">
            <v>527.46</v>
          </cell>
        </row>
        <row r="178">
          <cell r="B178" t="str">
            <v>Agastya</v>
          </cell>
          <cell r="C178" t="str">
            <v>Fipronil 80% WG</v>
          </cell>
          <cell r="D178" t="str">
            <v>Bumper</v>
          </cell>
          <cell r="E178" t="str">
            <v>2 GMS</v>
          </cell>
          <cell r="F178">
            <v>28.7</v>
          </cell>
          <cell r="G178">
            <v>18</v>
          </cell>
          <cell r="H178">
            <v>5.1659999999999995</v>
          </cell>
          <cell r="I178">
            <v>33.866</v>
          </cell>
        </row>
        <row r="179">
          <cell r="B179" t="str">
            <v>Agastya</v>
          </cell>
          <cell r="C179" t="str">
            <v>Fenpyroximate 5% EC</v>
          </cell>
          <cell r="D179" t="str">
            <v>Cascade</v>
          </cell>
          <cell r="E179" t="str">
            <v>100 ML</v>
          </cell>
          <cell r="F179">
            <v>102.3</v>
          </cell>
          <cell r="G179">
            <v>18</v>
          </cell>
          <cell r="H179">
            <v>18.413999999999998</v>
          </cell>
          <cell r="I179">
            <v>120.714</v>
          </cell>
        </row>
        <row r="180">
          <cell r="B180" t="str">
            <v>Agastya</v>
          </cell>
          <cell r="C180" t="str">
            <v>Fenpyroximate 5% EC</v>
          </cell>
          <cell r="D180" t="str">
            <v>Cascade</v>
          </cell>
          <cell r="E180" t="str">
            <v>1000 ML</v>
          </cell>
          <cell r="F180">
            <v>943</v>
          </cell>
          <cell r="G180">
            <v>18</v>
          </cell>
          <cell r="H180">
            <v>169.73999999999998</v>
          </cell>
          <cell r="I180">
            <v>1112.74</v>
          </cell>
        </row>
        <row r="181">
          <cell r="B181" t="str">
            <v>Agastya</v>
          </cell>
          <cell r="C181" t="str">
            <v>Fenpyroximate 5% EC</v>
          </cell>
          <cell r="D181" t="str">
            <v>Cascade</v>
          </cell>
          <cell r="E181" t="str">
            <v>500 ML</v>
          </cell>
          <cell r="F181">
            <v>481.5</v>
          </cell>
          <cell r="G181">
            <v>18</v>
          </cell>
          <cell r="H181">
            <v>86.67</v>
          </cell>
          <cell r="I181">
            <v>568.16999999999996</v>
          </cell>
        </row>
        <row r="182">
          <cell r="B182" t="str">
            <v>Agastya</v>
          </cell>
          <cell r="C182" t="str">
            <v>Fenpyroximate 5% EC</v>
          </cell>
          <cell r="D182" t="str">
            <v>Cascade</v>
          </cell>
          <cell r="E182" t="str">
            <v>250 ML</v>
          </cell>
          <cell r="F182">
            <v>245.75</v>
          </cell>
          <cell r="G182">
            <v>18</v>
          </cell>
          <cell r="H182">
            <v>44.234999999999999</v>
          </cell>
          <cell r="I182">
            <v>289.98500000000001</v>
          </cell>
        </row>
        <row r="183">
          <cell r="B183" t="str">
            <v>Agastya</v>
          </cell>
          <cell r="C183" t="str">
            <v>Deltamethrin 11% EC</v>
          </cell>
          <cell r="D183" t="str">
            <v>Click</v>
          </cell>
          <cell r="E183" t="str">
            <v>1000 ML</v>
          </cell>
          <cell r="F183">
            <v>1093</v>
          </cell>
          <cell r="G183">
            <v>18</v>
          </cell>
          <cell r="H183">
            <v>196.73999999999998</v>
          </cell>
          <cell r="I183">
            <v>1289.74</v>
          </cell>
        </row>
        <row r="184">
          <cell r="B184" t="str">
            <v>Agastya</v>
          </cell>
          <cell r="C184" t="str">
            <v>Deltamethrin 11% EC</v>
          </cell>
          <cell r="D184" t="str">
            <v>Click</v>
          </cell>
          <cell r="E184" t="str">
            <v>500 ML</v>
          </cell>
          <cell r="F184">
            <v>556.5</v>
          </cell>
          <cell r="G184">
            <v>18</v>
          </cell>
          <cell r="H184">
            <v>100.17</v>
          </cell>
          <cell r="I184">
            <v>656.67</v>
          </cell>
        </row>
        <row r="185">
          <cell r="B185" t="str">
            <v>Agastya</v>
          </cell>
          <cell r="C185" t="str">
            <v>Deltamethrin 11% EC</v>
          </cell>
          <cell r="D185" t="str">
            <v>Click</v>
          </cell>
          <cell r="E185" t="str">
            <v>250 ML</v>
          </cell>
          <cell r="F185">
            <v>288.25</v>
          </cell>
          <cell r="G185">
            <v>18</v>
          </cell>
          <cell r="H185">
            <v>51.884999999999998</v>
          </cell>
          <cell r="I185">
            <v>340.13499999999999</v>
          </cell>
        </row>
        <row r="186">
          <cell r="B186" t="str">
            <v>Agastya</v>
          </cell>
          <cell r="C186" t="str">
            <v>Deltamethrin 11% EC</v>
          </cell>
          <cell r="D186" t="str">
            <v>Click</v>
          </cell>
          <cell r="E186" t="str">
            <v>100 ML</v>
          </cell>
          <cell r="F186">
            <v>119.3</v>
          </cell>
          <cell r="G186">
            <v>18</v>
          </cell>
          <cell r="H186">
            <v>21.474</v>
          </cell>
          <cell r="I186">
            <v>140.774</v>
          </cell>
        </row>
        <row r="187">
          <cell r="B187" t="str">
            <v>Agastya</v>
          </cell>
          <cell r="C187" t="str">
            <v>Cyhalofop Butyl 10 % EC</v>
          </cell>
          <cell r="D187" t="str">
            <v>Cliff</v>
          </cell>
          <cell r="E187" t="str">
            <v>1000 ML</v>
          </cell>
          <cell r="F187">
            <v>1100</v>
          </cell>
          <cell r="G187">
            <v>18</v>
          </cell>
          <cell r="H187">
            <v>198</v>
          </cell>
          <cell r="I187">
            <v>1298</v>
          </cell>
        </row>
        <row r="188">
          <cell r="B188" t="str">
            <v>Agastya</v>
          </cell>
          <cell r="C188" t="str">
            <v>Cyhalofop Butyl 10 % EC</v>
          </cell>
          <cell r="D188" t="str">
            <v>Cliff</v>
          </cell>
          <cell r="E188" t="str">
            <v>500 ML</v>
          </cell>
          <cell r="F188">
            <v>556</v>
          </cell>
          <cell r="G188">
            <v>18</v>
          </cell>
          <cell r="H188">
            <v>100.08</v>
          </cell>
          <cell r="I188">
            <v>656.08</v>
          </cell>
        </row>
        <row r="189">
          <cell r="B189" t="str">
            <v>Agastya</v>
          </cell>
          <cell r="C189" t="str">
            <v>Cyhalofop Butyl 10 % EC</v>
          </cell>
          <cell r="D189" t="str">
            <v>Cliff</v>
          </cell>
          <cell r="E189" t="str">
            <v>250 ML</v>
          </cell>
          <cell r="F189">
            <v>284</v>
          </cell>
          <cell r="G189">
            <v>18</v>
          </cell>
          <cell r="H189">
            <v>51.12</v>
          </cell>
          <cell r="I189">
            <v>335.12</v>
          </cell>
        </row>
        <row r="190">
          <cell r="B190" t="str">
            <v>Agastya</v>
          </cell>
          <cell r="C190" t="str">
            <v>Cyhalofop Butyl 10 % EC</v>
          </cell>
          <cell r="D190" t="str">
            <v>Cliff</v>
          </cell>
          <cell r="E190" t="str">
            <v>100 ML</v>
          </cell>
          <cell r="F190">
            <v>117</v>
          </cell>
          <cell r="G190">
            <v>18</v>
          </cell>
          <cell r="H190">
            <v>21.06</v>
          </cell>
          <cell r="I190">
            <v>138.06</v>
          </cell>
        </row>
        <row r="191">
          <cell r="B191" t="str">
            <v>Agastya</v>
          </cell>
          <cell r="C191" t="str">
            <v>Fipronil 7% + Hexythiazox 2% SC</v>
          </cell>
          <cell r="D191" t="str">
            <v>Dash</v>
          </cell>
          <cell r="E191" t="str">
            <v>1000 ML</v>
          </cell>
          <cell r="F191">
            <v>1909</v>
          </cell>
          <cell r="G191">
            <v>18</v>
          </cell>
          <cell r="H191">
            <v>343.62</v>
          </cell>
          <cell r="I191">
            <v>2252.62</v>
          </cell>
        </row>
        <row r="192">
          <cell r="B192" t="str">
            <v>Agastya</v>
          </cell>
          <cell r="C192" t="str">
            <v>Fipronil 7% + Hexythiazox 2% SC</v>
          </cell>
          <cell r="D192" t="str">
            <v>Dash</v>
          </cell>
          <cell r="E192" t="str">
            <v>500 ML</v>
          </cell>
          <cell r="F192">
            <v>962</v>
          </cell>
          <cell r="G192">
            <v>18</v>
          </cell>
          <cell r="H192">
            <v>173.16</v>
          </cell>
          <cell r="I192">
            <v>1135.1600000000001</v>
          </cell>
        </row>
        <row r="193">
          <cell r="B193" t="str">
            <v>Agastya</v>
          </cell>
          <cell r="C193" t="str">
            <v>Fipronil 7% + Hexythiazox 2% SC</v>
          </cell>
          <cell r="D193" t="str">
            <v>Dash</v>
          </cell>
          <cell r="E193" t="str">
            <v>250 ML</v>
          </cell>
          <cell r="F193">
            <v>486.25</v>
          </cell>
          <cell r="G193">
            <v>18</v>
          </cell>
          <cell r="H193">
            <v>87.524999999999991</v>
          </cell>
          <cell r="I193">
            <v>573.77499999999998</v>
          </cell>
        </row>
        <row r="194">
          <cell r="B194" t="str">
            <v>Agastya</v>
          </cell>
          <cell r="C194" t="str">
            <v>Fipronil 7% + Hexythiazox 2% SC</v>
          </cell>
          <cell r="D194" t="str">
            <v>Dash</v>
          </cell>
          <cell r="E194" t="str">
            <v>100 ML</v>
          </cell>
          <cell r="F194">
            <v>206.4</v>
          </cell>
          <cell r="G194">
            <v>18</v>
          </cell>
          <cell r="H194">
            <v>37.152000000000001</v>
          </cell>
          <cell r="I194">
            <v>243.55200000000002</v>
          </cell>
        </row>
        <row r="195">
          <cell r="B195" t="str">
            <v>Agastya</v>
          </cell>
          <cell r="C195" t="str">
            <v>Acephate 50% + Imidacloprid 1.8% SP</v>
          </cell>
          <cell r="D195" t="str">
            <v>Destrol Gold</v>
          </cell>
          <cell r="E195" t="str">
            <v>100 GMS</v>
          </cell>
          <cell r="F195">
            <v>67.400000000000006</v>
          </cell>
          <cell r="G195">
            <v>18</v>
          </cell>
          <cell r="H195">
            <v>12.132000000000001</v>
          </cell>
          <cell r="I195">
            <v>79.532000000000011</v>
          </cell>
        </row>
        <row r="196">
          <cell r="B196" t="str">
            <v>Agastya</v>
          </cell>
          <cell r="C196" t="str">
            <v>Acephate 50% + Imidacloprid 1.8% SP</v>
          </cell>
          <cell r="D196" t="str">
            <v>Destrol Gold</v>
          </cell>
          <cell r="E196" t="str">
            <v>1000 GMS</v>
          </cell>
          <cell r="F196">
            <v>624</v>
          </cell>
          <cell r="G196">
            <v>18</v>
          </cell>
          <cell r="H196">
            <v>112.32</v>
          </cell>
          <cell r="I196">
            <v>736.31999999999994</v>
          </cell>
        </row>
        <row r="197">
          <cell r="B197" t="str">
            <v>Agastya</v>
          </cell>
          <cell r="C197" t="str">
            <v>Acephate 50% + Imidacloprid 1.8% SP</v>
          </cell>
          <cell r="D197" t="str">
            <v>Destrol Gold</v>
          </cell>
          <cell r="E197" t="str">
            <v>500 GMS</v>
          </cell>
          <cell r="F197">
            <v>319</v>
          </cell>
          <cell r="G197">
            <v>18</v>
          </cell>
          <cell r="H197">
            <v>57.419999999999995</v>
          </cell>
          <cell r="I197">
            <v>376.42</v>
          </cell>
        </row>
        <row r="198">
          <cell r="B198" t="str">
            <v>Agastya</v>
          </cell>
          <cell r="C198" t="str">
            <v>Acephate 50% + Imidacloprid 1.8% SP</v>
          </cell>
          <cell r="D198" t="str">
            <v>Destrol Gold</v>
          </cell>
          <cell r="E198" t="str">
            <v>250 GMS</v>
          </cell>
          <cell r="F198">
            <v>163.5</v>
          </cell>
          <cell r="G198">
            <v>18</v>
          </cell>
          <cell r="H198">
            <v>29.43</v>
          </cell>
          <cell r="I198">
            <v>192.93</v>
          </cell>
        </row>
        <row r="199">
          <cell r="B199" t="str">
            <v>Agastya</v>
          </cell>
          <cell r="C199" t="str">
            <v>Diclosulam 84% WDG</v>
          </cell>
          <cell r="D199" t="str">
            <v>Dice</v>
          </cell>
          <cell r="E199" t="str">
            <v>12.4 GMS</v>
          </cell>
          <cell r="F199">
            <v>443</v>
          </cell>
          <cell r="G199">
            <v>18</v>
          </cell>
          <cell r="H199">
            <v>79.739999999999995</v>
          </cell>
          <cell r="I199">
            <v>522.74</v>
          </cell>
        </row>
        <row r="200">
          <cell r="B200" t="str">
            <v>Agastya</v>
          </cell>
          <cell r="C200" t="str">
            <v xml:space="preserve">Tebuconazole 25.9% EC </v>
          </cell>
          <cell r="D200" t="str">
            <v>Doli</v>
          </cell>
          <cell r="E200" t="str">
            <v>1000 ML</v>
          </cell>
          <cell r="F200">
            <v>986</v>
          </cell>
          <cell r="G200">
            <v>18</v>
          </cell>
          <cell r="H200">
            <v>177.48</v>
          </cell>
          <cell r="I200">
            <v>1163.48</v>
          </cell>
        </row>
        <row r="201">
          <cell r="B201" t="str">
            <v>Agastya</v>
          </cell>
          <cell r="C201" t="str">
            <v xml:space="preserve">Tebuconazole 25.9% EC </v>
          </cell>
          <cell r="D201" t="str">
            <v>Doli</v>
          </cell>
          <cell r="E201" t="str">
            <v>500 ML</v>
          </cell>
          <cell r="F201">
            <v>503</v>
          </cell>
          <cell r="G201">
            <v>18</v>
          </cell>
          <cell r="H201">
            <v>90.539999999999992</v>
          </cell>
          <cell r="I201">
            <v>593.54</v>
          </cell>
        </row>
        <row r="202">
          <cell r="B202" t="str">
            <v>Agastya</v>
          </cell>
          <cell r="C202" t="str">
            <v xml:space="preserve">Tebuconazole 25.9% EC </v>
          </cell>
          <cell r="D202" t="str">
            <v>Doli</v>
          </cell>
          <cell r="E202" t="str">
            <v>250 ML</v>
          </cell>
          <cell r="F202">
            <v>259</v>
          </cell>
          <cell r="G202">
            <v>18</v>
          </cell>
          <cell r="H202">
            <v>46.62</v>
          </cell>
          <cell r="I202">
            <v>305.62</v>
          </cell>
        </row>
        <row r="203">
          <cell r="B203" t="str">
            <v>Agastya</v>
          </cell>
          <cell r="C203" t="str">
            <v xml:space="preserve">Tebuconazole 25.9% EC </v>
          </cell>
          <cell r="D203" t="str">
            <v>Doli</v>
          </cell>
          <cell r="E203" t="str">
            <v>100 ML</v>
          </cell>
          <cell r="F203">
            <v>106.6</v>
          </cell>
          <cell r="G203">
            <v>18</v>
          </cell>
          <cell r="H203">
            <v>19.187999999999999</v>
          </cell>
          <cell r="I203">
            <v>125.788</v>
          </cell>
        </row>
        <row r="204">
          <cell r="B204" t="str">
            <v>Agastya</v>
          </cell>
          <cell r="C204" t="str">
            <v>Penoxulam 0.97% + Butachlor 38.8% SE</v>
          </cell>
          <cell r="D204" t="str">
            <v>Drone</v>
          </cell>
          <cell r="E204" t="str">
            <v>800 ML</v>
          </cell>
          <cell r="F204">
            <v>540</v>
          </cell>
          <cell r="G204">
            <v>18</v>
          </cell>
          <cell r="H204">
            <v>97.2</v>
          </cell>
          <cell r="I204">
            <v>637.20000000000005</v>
          </cell>
        </row>
        <row r="205">
          <cell r="B205" t="str">
            <v>Agastya</v>
          </cell>
          <cell r="C205" t="str">
            <v>Captan 70% + Hexaconazole 5% WP</v>
          </cell>
          <cell r="D205" t="str">
            <v>Energy</v>
          </cell>
          <cell r="E205" t="str">
            <v>1000 GMS</v>
          </cell>
          <cell r="F205">
            <v>680</v>
          </cell>
          <cell r="G205">
            <v>18</v>
          </cell>
          <cell r="H205">
            <v>122.39999999999999</v>
          </cell>
          <cell r="I205">
            <v>802.4</v>
          </cell>
        </row>
        <row r="206">
          <cell r="B206" t="str">
            <v>Agastya</v>
          </cell>
          <cell r="C206" t="str">
            <v>Captan 70% + Hexaconazole 5% WP</v>
          </cell>
          <cell r="D206" t="str">
            <v>Energy</v>
          </cell>
          <cell r="E206" t="str">
            <v>100 GMS</v>
          </cell>
          <cell r="F206">
            <v>73</v>
          </cell>
          <cell r="G206">
            <v>18</v>
          </cell>
          <cell r="H206">
            <v>13.139999999999999</v>
          </cell>
          <cell r="I206">
            <v>86.14</v>
          </cell>
        </row>
        <row r="207">
          <cell r="B207" t="str">
            <v>Agastya</v>
          </cell>
          <cell r="C207" t="str">
            <v>Captan 70% + Hexaconazole 5% WP</v>
          </cell>
          <cell r="D207" t="str">
            <v>Energy</v>
          </cell>
          <cell r="E207" t="str">
            <v>500 GMS</v>
          </cell>
          <cell r="F207">
            <v>345</v>
          </cell>
          <cell r="G207">
            <v>18</v>
          </cell>
          <cell r="H207">
            <v>62.099999999999994</v>
          </cell>
          <cell r="I207">
            <v>407.1</v>
          </cell>
        </row>
        <row r="208">
          <cell r="B208" t="str">
            <v>Agastya</v>
          </cell>
          <cell r="C208" t="str">
            <v>Captan 70% + Hexaconazole 5% WP</v>
          </cell>
          <cell r="D208" t="str">
            <v>Energy</v>
          </cell>
          <cell r="E208" t="str">
            <v>250 GMS</v>
          </cell>
          <cell r="F208">
            <v>177.5</v>
          </cell>
          <cell r="G208">
            <v>18</v>
          </cell>
          <cell r="H208">
            <v>31.95</v>
          </cell>
          <cell r="I208">
            <v>209.45</v>
          </cell>
        </row>
        <row r="209">
          <cell r="B209" t="str">
            <v>Agastya</v>
          </cell>
          <cell r="C209" t="str">
            <v>Validamycin 3% SL</v>
          </cell>
          <cell r="D209" t="str">
            <v>Feel</v>
          </cell>
          <cell r="E209" t="str">
            <v>1000 ML</v>
          </cell>
          <cell r="F209">
            <v>250</v>
          </cell>
          <cell r="G209">
            <v>18</v>
          </cell>
          <cell r="H209">
            <v>45</v>
          </cell>
          <cell r="I209">
            <v>295</v>
          </cell>
        </row>
        <row r="210">
          <cell r="B210" t="str">
            <v>Agastya</v>
          </cell>
          <cell r="C210" t="str">
            <v>Validamycin 3% SL</v>
          </cell>
          <cell r="D210" t="str">
            <v>Feel</v>
          </cell>
          <cell r="E210" t="str">
            <v>5000 ML</v>
          </cell>
          <cell r="F210">
            <v>1225</v>
          </cell>
          <cell r="G210">
            <v>18</v>
          </cell>
          <cell r="H210">
            <v>220.5</v>
          </cell>
          <cell r="I210">
            <v>1445.5</v>
          </cell>
        </row>
        <row r="211">
          <cell r="B211" t="str">
            <v>Agastya</v>
          </cell>
          <cell r="C211" t="str">
            <v>Validamycin 3% SL</v>
          </cell>
          <cell r="D211" t="str">
            <v>Feel</v>
          </cell>
          <cell r="E211" t="str">
            <v>500 ML</v>
          </cell>
          <cell r="F211">
            <v>132.5</v>
          </cell>
          <cell r="G211">
            <v>18</v>
          </cell>
          <cell r="H211">
            <v>23.849999999999998</v>
          </cell>
          <cell r="I211">
            <v>156.35</v>
          </cell>
        </row>
        <row r="212">
          <cell r="B212" t="str">
            <v>Agastya</v>
          </cell>
          <cell r="C212" t="str">
            <v>Validamycin 3% SL</v>
          </cell>
          <cell r="D212" t="str">
            <v>Feel</v>
          </cell>
          <cell r="E212" t="str">
            <v>250 ML</v>
          </cell>
          <cell r="F212">
            <v>70</v>
          </cell>
          <cell r="G212">
            <v>18</v>
          </cell>
          <cell r="H212">
            <v>12.6</v>
          </cell>
          <cell r="I212">
            <v>82.6</v>
          </cell>
        </row>
        <row r="213">
          <cell r="B213" t="str">
            <v>Agastya</v>
          </cell>
          <cell r="C213" t="str">
            <v>Validamycin 3% SL</v>
          </cell>
          <cell r="D213" t="str">
            <v>Feel</v>
          </cell>
          <cell r="E213" t="str">
            <v>100 ML</v>
          </cell>
          <cell r="F213">
            <v>32.5</v>
          </cell>
          <cell r="G213">
            <v>18</v>
          </cell>
          <cell r="H213">
            <v>5.85</v>
          </cell>
          <cell r="I213">
            <v>38.35</v>
          </cell>
        </row>
        <row r="214">
          <cell r="B214" t="str">
            <v>Agastya</v>
          </cell>
          <cell r="C214" t="str">
            <v>Pretilachlor 30.7% EC</v>
          </cell>
          <cell r="D214" t="str">
            <v>Fina-N</v>
          </cell>
          <cell r="E214" t="str">
            <v>100 ML</v>
          </cell>
          <cell r="F214">
            <v>71.8</v>
          </cell>
          <cell r="G214">
            <v>18</v>
          </cell>
          <cell r="H214">
            <v>12.923999999999999</v>
          </cell>
          <cell r="I214">
            <v>84.72399999999999</v>
          </cell>
        </row>
        <row r="215">
          <cell r="B215" t="str">
            <v>Agastya</v>
          </cell>
          <cell r="C215" t="str">
            <v>Pretilachlor 30.7% EC</v>
          </cell>
          <cell r="D215" t="str">
            <v>Fina-N</v>
          </cell>
          <cell r="E215" t="str">
            <v>1000 ML</v>
          </cell>
          <cell r="F215">
            <v>638</v>
          </cell>
          <cell r="G215">
            <v>18</v>
          </cell>
          <cell r="H215">
            <v>114.83999999999999</v>
          </cell>
          <cell r="I215">
            <v>752.84</v>
          </cell>
        </row>
        <row r="216">
          <cell r="B216" t="str">
            <v>Agastya</v>
          </cell>
          <cell r="C216" t="str">
            <v>Pretilachlor 30.7% EC</v>
          </cell>
          <cell r="D216" t="str">
            <v>Fina-N</v>
          </cell>
          <cell r="E216" t="str">
            <v>500 ML</v>
          </cell>
          <cell r="F216">
            <v>329</v>
          </cell>
          <cell r="G216">
            <v>18</v>
          </cell>
          <cell r="H216">
            <v>59.22</v>
          </cell>
          <cell r="I216">
            <v>388.22</v>
          </cell>
        </row>
        <row r="217">
          <cell r="B217" t="str">
            <v>Agastya</v>
          </cell>
          <cell r="C217" t="str">
            <v>Pretilachlor 30.7% EC</v>
          </cell>
          <cell r="D217" t="str">
            <v>Fina-N</v>
          </cell>
          <cell r="E217" t="str">
            <v>250 ML</v>
          </cell>
          <cell r="F217">
            <v>169.5</v>
          </cell>
          <cell r="G217">
            <v>18</v>
          </cell>
          <cell r="H217">
            <v>30.509999999999998</v>
          </cell>
          <cell r="I217">
            <v>200.01</v>
          </cell>
        </row>
        <row r="218">
          <cell r="B218" t="str">
            <v>Agastya</v>
          </cell>
          <cell r="C218" t="str">
            <v>Azoxystrobin 4.8% + Chlorothalonil 40% SC</v>
          </cell>
          <cell r="D218" t="str">
            <v>Garuda</v>
          </cell>
          <cell r="E218" t="str">
            <v>600 ML</v>
          </cell>
          <cell r="F218">
            <v>855</v>
          </cell>
          <cell r="G218">
            <v>18</v>
          </cell>
          <cell r="H218">
            <v>153.9</v>
          </cell>
          <cell r="I218">
            <v>1008.9</v>
          </cell>
        </row>
        <row r="219">
          <cell r="B219" t="str">
            <v>Agastya</v>
          </cell>
          <cell r="C219" t="str">
            <v>Azoxystrobin 4.8% + Chlorothalonil 40% SC</v>
          </cell>
          <cell r="D219" t="str">
            <v>Garuda</v>
          </cell>
          <cell r="E219" t="str">
            <v>300 ML</v>
          </cell>
          <cell r="F219">
            <v>437.5</v>
          </cell>
          <cell r="G219">
            <v>18</v>
          </cell>
          <cell r="H219">
            <v>78.75</v>
          </cell>
          <cell r="I219">
            <v>516.25</v>
          </cell>
        </row>
        <row r="220">
          <cell r="B220" t="str">
            <v>Agastya</v>
          </cell>
          <cell r="C220" t="str">
            <v>Glufisonate Ammonium 13.5% SL</v>
          </cell>
          <cell r="D220" t="str">
            <v>Glufonate</v>
          </cell>
          <cell r="E220" t="str">
            <v>20000 ML</v>
          </cell>
          <cell r="F220">
            <v>7100</v>
          </cell>
          <cell r="G220">
            <v>18</v>
          </cell>
          <cell r="H220">
            <v>1278</v>
          </cell>
          <cell r="I220">
            <v>8378</v>
          </cell>
        </row>
        <row r="221">
          <cell r="B221" t="str">
            <v>Agastya</v>
          </cell>
          <cell r="C221" t="str">
            <v>Glufisonate Ammonium 13.5% SL</v>
          </cell>
          <cell r="D221" t="str">
            <v>Glufonate</v>
          </cell>
          <cell r="E221" t="str">
            <v>1000 ML</v>
          </cell>
          <cell r="F221">
            <v>367</v>
          </cell>
          <cell r="G221">
            <v>18</v>
          </cell>
          <cell r="H221">
            <v>66.06</v>
          </cell>
          <cell r="I221">
            <v>433.06</v>
          </cell>
        </row>
        <row r="222">
          <cell r="B222" t="str">
            <v>Agastya</v>
          </cell>
          <cell r="C222" t="str">
            <v>Glufisonate Ammonium 13.5% SL</v>
          </cell>
          <cell r="D222" t="str">
            <v>Glufonate</v>
          </cell>
          <cell r="E222" t="str">
            <v>5000 ML</v>
          </cell>
          <cell r="F222">
            <v>1810</v>
          </cell>
          <cell r="G222">
            <v>18</v>
          </cell>
          <cell r="H222">
            <v>325.8</v>
          </cell>
          <cell r="I222">
            <v>2135.8000000000002</v>
          </cell>
        </row>
        <row r="223">
          <cell r="B223" t="str">
            <v>Agastya</v>
          </cell>
          <cell r="C223" t="str">
            <v>Glufisonate Ammonium 13.5% SL</v>
          </cell>
          <cell r="D223" t="str">
            <v>Glufonate</v>
          </cell>
          <cell r="E223" t="str">
            <v>500 ML</v>
          </cell>
          <cell r="F223">
            <v>194</v>
          </cell>
          <cell r="G223">
            <v>18</v>
          </cell>
          <cell r="H223">
            <v>34.92</v>
          </cell>
          <cell r="I223">
            <v>228.92000000000002</v>
          </cell>
        </row>
        <row r="224">
          <cell r="B224" t="str">
            <v>Agastya</v>
          </cell>
          <cell r="C224" t="str">
            <v>Glufisonate Ammonium 13.5% SL</v>
          </cell>
          <cell r="D224" t="str">
            <v>Glufonate</v>
          </cell>
          <cell r="E224" t="str">
            <v>250 ML</v>
          </cell>
          <cell r="F224">
            <v>102</v>
          </cell>
          <cell r="G224">
            <v>18</v>
          </cell>
          <cell r="H224">
            <v>18.36</v>
          </cell>
          <cell r="I224">
            <v>120.36</v>
          </cell>
        </row>
        <row r="225">
          <cell r="B225" t="str">
            <v>Agastya</v>
          </cell>
          <cell r="C225" t="str">
            <v>Pyrazosulfuron Ethyl 10% WP</v>
          </cell>
          <cell r="D225" t="str">
            <v>Haathi</v>
          </cell>
          <cell r="E225" t="str">
            <v>80 GMS</v>
          </cell>
          <cell r="F225">
            <v>80</v>
          </cell>
          <cell r="G225">
            <v>18</v>
          </cell>
          <cell r="H225">
            <v>14.399999999999999</v>
          </cell>
          <cell r="I225">
            <v>94.4</v>
          </cell>
        </row>
        <row r="226">
          <cell r="B226" t="str">
            <v>Agastya</v>
          </cell>
          <cell r="C226" t="str">
            <v>Halosulfuron Methyl 75% WG</v>
          </cell>
          <cell r="D226" t="str">
            <v>Halostar</v>
          </cell>
          <cell r="E226" t="str">
            <v>3.6 GMS</v>
          </cell>
          <cell r="F226">
            <v>87</v>
          </cell>
          <cell r="G226">
            <v>18</v>
          </cell>
          <cell r="H226">
            <v>15.66</v>
          </cell>
          <cell r="I226">
            <v>102.66</v>
          </cell>
        </row>
        <row r="227">
          <cell r="B227" t="str">
            <v>Agastya</v>
          </cell>
          <cell r="C227" t="str">
            <v>Halosulfuron Methyl 75% WG</v>
          </cell>
          <cell r="D227" t="str">
            <v>Halostar</v>
          </cell>
          <cell r="E227" t="str">
            <v>36 GMS</v>
          </cell>
          <cell r="F227">
            <v>765</v>
          </cell>
          <cell r="G227">
            <v>18</v>
          </cell>
          <cell r="H227">
            <v>137.69999999999999</v>
          </cell>
          <cell r="I227">
            <v>902.7</v>
          </cell>
        </row>
        <row r="228">
          <cell r="B228" t="str">
            <v>Agastya</v>
          </cell>
          <cell r="C228" t="str">
            <v>Halosulfuron Methyl 75% WG</v>
          </cell>
          <cell r="D228" t="str">
            <v>Halostar</v>
          </cell>
          <cell r="E228" t="str">
            <v>18 GMS</v>
          </cell>
          <cell r="F228">
            <v>390</v>
          </cell>
          <cell r="G228">
            <v>18</v>
          </cell>
          <cell r="H228">
            <v>70.2</v>
          </cell>
          <cell r="I228">
            <v>460.2</v>
          </cell>
        </row>
        <row r="229">
          <cell r="B229" t="str">
            <v>Agastya</v>
          </cell>
          <cell r="C229" t="str">
            <v>Novaluron 5.25% + Indoxacarb 4.5% SC</v>
          </cell>
          <cell r="D229" t="str">
            <v>Hot Star</v>
          </cell>
          <cell r="E229" t="str">
            <v>1000 ML</v>
          </cell>
          <cell r="F229">
            <v>1942</v>
          </cell>
          <cell r="G229">
            <v>18</v>
          </cell>
          <cell r="H229">
            <v>349.56</v>
          </cell>
          <cell r="I229">
            <v>2291.56</v>
          </cell>
        </row>
        <row r="230">
          <cell r="B230" t="str">
            <v>Agastya</v>
          </cell>
          <cell r="C230" t="str">
            <v>Novaluron 5.25% + Indoxacarb 4.5% SC</v>
          </cell>
          <cell r="D230" t="str">
            <v>Hot Star</v>
          </cell>
          <cell r="E230" t="str">
            <v>350 ML</v>
          </cell>
          <cell r="F230">
            <v>690.21</v>
          </cell>
          <cell r="G230">
            <v>18</v>
          </cell>
          <cell r="H230">
            <v>124.23780000000001</v>
          </cell>
          <cell r="I230">
            <v>814.44780000000003</v>
          </cell>
        </row>
        <row r="231">
          <cell r="B231" t="str">
            <v>Agastya</v>
          </cell>
          <cell r="C231" t="str">
            <v>Novaluron 5.25% + Indoxacarb 4.5% SC</v>
          </cell>
          <cell r="D231" t="str">
            <v>Hot Star</v>
          </cell>
          <cell r="E231" t="str">
            <v>500 ML</v>
          </cell>
          <cell r="F231">
            <v>979</v>
          </cell>
          <cell r="G231">
            <v>18</v>
          </cell>
          <cell r="H231">
            <v>176.22</v>
          </cell>
          <cell r="I231">
            <v>1155.22</v>
          </cell>
        </row>
        <row r="232">
          <cell r="B232" t="str">
            <v>Agastya</v>
          </cell>
          <cell r="C232" t="str">
            <v>Novaluron 5.25% + Indoxacarb 4.5% SC</v>
          </cell>
          <cell r="D232" t="str">
            <v>Hot Star</v>
          </cell>
          <cell r="E232" t="str">
            <v>100 ML</v>
          </cell>
          <cell r="F232">
            <v>202.2</v>
          </cell>
          <cell r="G232">
            <v>18</v>
          </cell>
          <cell r="H232">
            <v>36.395999999999994</v>
          </cell>
          <cell r="I232">
            <v>238.59599999999998</v>
          </cell>
        </row>
        <row r="233">
          <cell r="B233" t="str">
            <v>Agastya</v>
          </cell>
          <cell r="C233" t="str">
            <v>Chlorantraniliprole 9.3% + Lambdacyhalothrin 4.6% ZC</v>
          </cell>
          <cell r="D233" t="str">
            <v>Indigo</v>
          </cell>
          <cell r="E233" t="str">
            <v>1000 ML</v>
          </cell>
          <cell r="F233">
            <v>2175</v>
          </cell>
          <cell r="G233">
            <v>18</v>
          </cell>
          <cell r="H233">
            <v>391.5</v>
          </cell>
          <cell r="I233">
            <v>2566.5</v>
          </cell>
        </row>
        <row r="234">
          <cell r="B234" t="str">
            <v>Agastya</v>
          </cell>
          <cell r="C234" t="str">
            <v>Chlorantraniliprole 9.3% + Lambdacyhalothrin 4.6% ZC</v>
          </cell>
          <cell r="D234" t="str">
            <v>Indigo</v>
          </cell>
          <cell r="E234" t="str">
            <v>500 ML</v>
          </cell>
          <cell r="F234">
            <v>1137.5</v>
          </cell>
          <cell r="G234">
            <v>18</v>
          </cell>
          <cell r="H234">
            <v>204.75</v>
          </cell>
          <cell r="I234">
            <v>1342.25</v>
          </cell>
        </row>
        <row r="235">
          <cell r="B235" t="str">
            <v>Agastya</v>
          </cell>
          <cell r="C235" t="str">
            <v>Chlorantraniliprole 9.3% + Lambdacyhalothrin 4.6% ZC</v>
          </cell>
          <cell r="D235" t="str">
            <v>Indigo</v>
          </cell>
          <cell r="E235" t="str">
            <v>200 ML</v>
          </cell>
          <cell r="F235">
            <v>475</v>
          </cell>
          <cell r="G235">
            <v>18</v>
          </cell>
          <cell r="H235">
            <v>85.5</v>
          </cell>
          <cell r="I235">
            <v>560.5</v>
          </cell>
        </row>
        <row r="236">
          <cell r="B236" t="str">
            <v>Agastya</v>
          </cell>
          <cell r="C236" t="str">
            <v>Chlorantraniliprole 9.3% + Lambdacyhalothrin 4.6% ZC</v>
          </cell>
          <cell r="D236" t="str">
            <v>Indigo</v>
          </cell>
          <cell r="E236" t="str">
            <v>80 ML</v>
          </cell>
          <cell r="F236">
            <v>198</v>
          </cell>
          <cell r="G236">
            <v>18</v>
          </cell>
          <cell r="H236">
            <v>35.64</v>
          </cell>
          <cell r="I236">
            <v>233.64</v>
          </cell>
        </row>
        <row r="237">
          <cell r="B237" t="str">
            <v>Agastya</v>
          </cell>
          <cell r="C237" t="str">
            <v>Hexaconazole 4% + Zineb 68% WP</v>
          </cell>
          <cell r="D237" t="str">
            <v>Kantara</v>
          </cell>
          <cell r="E237" t="str">
            <v>1000 GMS</v>
          </cell>
          <cell r="F237">
            <v>830</v>
          </cell>
          <cell r="G237">
            <v>18</v>
          </cell>
          <cell r="H237">
            <v>149.4</v>
          </cell>
          <cell r="I237">
            <v>979.4</v>
          </cell>
        </row>
        <row r="238">
          <cell r="B238" t="str">
            <v>Agastya</v>
          </cell>
          <cell r="C238" t="str">
            <v>Hexaconazole 4% + Zineb 68% WP</v>
          </cell>
          <cell r="D238" t="str">
            <v>Kantara</v>
          </cell>
          <cell r="E238" t="str">
            <v>500 GMS</v>
          </cell>
          <cell r="F238">
            <v>422</v>
          </cell>
          <cell r="G238">
            <v>18</v>
          </cell>
          <cell r="H238">
            <v>75.959999999999994</v>
          </cell>
          <cell r="I238">
            <v>497.96</v>
          </cell>
        </row>
        <row r="239">
          <cell r="B239" t="str">
            <v>Agastya</v>
          </cell>
          <cell r="C239" t="str">
            <v>Hexaconazole 4% + Zineb 68% WP</v>
          </cell>
          <cell r="D239" t="str">
            <v>Kantara</v>
          </cell>
          <cell r="E239" t="str">
            <v>250 GMS</v>
          </cell>
          <cell r="F239">
            <v>218</v>
          </cell>
          <cell r="G239">
            <v>18</v>
          </cell>
          <cell r="H239">
            <v>39.24</v>
          </cell>
          <cell r="I239">
            <v>257.24</v>
          </cell>
        </row>
        <row r="240">
          <cell r="B240" t="str">
            <v>Agastya</v>
          </cell>
          <cell r="C240" t="str">
            <v>Propargite 57% EC</v>
          </cell>
          <cell r="D240" t="str">
            <v>Kilmite</v>
          </cell>
          <cell r="E240" t="str">
            <v>100 ML</v>
          </cell>
          <cell r="F240">
            <v>104.4</v>
          </cell>
          <cell r="G240">
            <v>18</v>
          </cell>
          <cell r="H240">
            <v>18.792000000000002</v>
          </cell>
          <cell r="I240">
            <v>123.19200000000001</v>
          </cell>
        </row>
        <row r="241">
          <cell r="B241" t="str">
            <v>Agastya</v>
          </cell>
          <cell r="C241" t="str">
            <v>Propargite 57% EC</v>
          </cell>
          <cell r="D241" t="str">
            <v>Kilmite</v>
          </cell>
          <cell r="E241" t="str">
            <v>1000 ML</v>
          </cell>
          <cell r="F241">
            <v>964</v>
          </cell>
          <cell r="G241">
            <v>18</v>
          </cell>
          <cell r="H241">
            <v>173.51999999999998</v>
          </cell>
          <cell r="I241">
            <v>1137.52</v>
          </cell>
        </row>
        <row r="242">
          <cell r="B242" t="str">
            <v>Agastya</v>
          </cell>
          <cell r="C242" t="str">
            <v>Propargite 57% EC</v>
          </cell>
          <cell r="D242" t="str">
            <v>Kilmite</v>
          </cell>
          <cell r="E242" t="str">
            <v>500 ML</v>
          </cell>
          <cell r="F242">
            <v>492</v>
          </cell>
          <cell r="G242">
            <v>18</v>
          </cell>
          <cell r="H242">
            <v>88.56</v>
          </cell>
          <cell r="I242">
            <v>580.55999999999995</v>
          </cell>
        </row>
        <row r="243">
          <cell r="B243" t="str">
            <v>Agastya</v>
          </cell>
          <cell r="C243" t="str">
            <v>Propargite 57% EC</v>
          </cell>
          <cell r="D243" t="str">
            <v>Kilmite</v>
          </cell>
          <cell r="E243" t="str">
            <v>250 ML</v>
          </cell>
          <cell r="F243">
            <v>254</v>
          </cell>
          <cell r="G243">
            <v>18</v>
          </cell>
          <cell r="H243">
            <v>45.72</v>
          </cell>
          <cell r="I243">
            <v>299.72000000000003</v>
          </cell>
        </row>
        <row r="244">
          <cell r="B244" t="str">
            <v>Agastya</v>
          </cell>
          <cell r="C244" t="str">
            <v>Thiamethoxam 75% SG</v>
          </cell>
          <cell r="D244" t="str">
            <v>Kim</v>
          </cell>
          <cell r="E244" t="str">
            <v>500 GMS</v>
          </cell>
          <cell r="F244">
            <v>783</v>
          </cell>
          <cell r="G244">
            <v>18</v>
          </cell>
          <cell r="H244">
            <v>140.94</v>
          </cell>
          <cell r="I244">
            <v>923.94</v>
          </cell>
        </row>
        <row r="245">
          <cell r="B245" t="str">
            <v>Agastya</v>
          </cell>
          <cell r="C245" t="str">
            <v>Thiamethoxam 75% SG</v>
          </cell>
          <cell r="D245" t="str">
            <v>Kim</v>
          </cell>
          <cell r="E245" t="str">
            <v>125 GMS</v>
          </cell>
          <cell r="F245">
            <v>205.26</v>
          </cell>
          <cell r="G245">
            <v>18</v>
          </cell>
          <cell r="H245">
            <v>36.946799999999996</v>
          </cell>
          <cell r="I245">
            <v>242.20679999999999</v>
          </cell>
        </row>
        <row r="246">
          <cell r="B246" t="str">
            <v>Agastya</v>
          </cell>
          <cell r="C246" t="str">
            <v>Thiamethoxam 75% SG</v>
          </cell>
          <cell r="D246" t="str">
            <v>Kim</v>
          </cell>
          <cell r="E246" t="str">
            <v>250 GMS</v>
          </cell>
          <cell r="F246">
            <v>398</v>
          </cell>
          <cell r="G246">
            <v>18</v>
          </cell>
          <cell r="H246">
            <v>71.64</v>
          </cell>
          <cell r="I246">
            <v>469.64</v>
          </cell>
        </row>
        <row r="247">
          <cell r="B247" t="str">
            <v>Agastya</v>
          </cell>
          <cell r="C247" t="str">
            <v>Thiamethoxam 75% SG</v>
          </cell>
          <cell r="D247" t="str">
            <v>Kim</v>
          </cell>
          <cell r="E247" t="str">
            <v>50 GMS</v>
          </cell>
          <cell r="F247">
            <v>92.1</v>
          </cell>
          <cell r="G247">
            <v>18</v>
          </cell>
          <cell r="H247">
            <v>16.577999999999999</v>
          </cell>
          <cell r="I247">
            <v>108.678</v>
          </cell>
        </row>
        <row r="248">
          <cell r="B248" t="str">
            <v>Agastya</v>
          </cell>
          <cell r="C248" t="str">
            <v>Emamectin Benzoate 5% SG</v>
          </cell>
          <cell r="D248" t="str">
            <v>Larva</v>
          </cell>
          <cell r="E248" t="str">
            <v>1000 GMS</v>
          </cell>
          <cell r="F248">
            <v>1221</v>
          </cell>
          <cell r="G248">
            <v>18</v>
          </cell>
          <cell r="H248">
            <v>219.78</v>
          </cell>
          <cell r="I248">
            <v>1440.78</v>
          </cell>
        </row>
        <row r="249">
          <cell r="B249" t="str">
            <v>Agastya</v>
          </cell>
          <cell r="C249" t="str">
            <v>Emamectin Benzoate 5% SG</v>
          </cell>
          <cell r="D249" t="str">
            <v>Larva</v>
          </cell>
          <cell r="E249" t="str">
            <v>500 GMS</v>
          </cell>
          <cell r="F249">
            <v>620.5</v>
          </cell>
          <cell r="G249">
            <v>18</v>
          </cell>
          <cell r="H249">
            <v>111.69</v>
          </cell>
          <cell r="I249">
            <v>732.19</v>
          </cell>
        </row>
        <row r="250">
          <cell r="B250" t="str">
            <v>Agastya</v>
          </cell>
          <cell r="C250" t="str">
            <v>Emamectin Benzoate 5% SG</v>
          </cell>
          <cell r="D250" t="str">
            <v>Larva</v>
          </cell>
          <cell r="E250" t="str">
            <v>250 GMS</v>
          </cell>
          <cell r="F250">
            <v>322.75</v>
          </cell>
          <cell r="G250">
            <v>18</v>
          </cell>
          <cell r="H250">
            <v>58.094999999999999</v>
          </cell>
          <cell r="I250">
            <v>380.84500000000003</v>
          </cell>
        </row>
        <row r="251">
          <cell r="B251" t="str">
            <v>Agastya</v>
          </cell>
          <cell r="C251" t="str">
            <v>Emamectin Benzoate 5% SG</v>
          </cell>
          <cell r="D251" t="str">
            <v>Larva</v>
          </cell>
          <cell r="E251" t="str">
            <v>50 GMS</v>
          </cell>
          <cell r="F251">
            <v>69.8</v>
          </cell>
          <cell r="G251">
            <v>18</v>
          </cell>
          <cell r="H251">
            <v>12.563999999999998</v>
          </cell>
          <cell r="I251">
            <v>82.36399999999999</v>
          </cell>
        </row>
        <row r="252">
          <cell r="B252" t="str">
            <v>Agastya</v>
          </cell>
          <cell r="C252" t="str">
            <v>Emamectin Benzoate 5% SG</v>
          </cell>
          <cell r="D252" t="str">
            <v>Larva</v>
          </cell>
          <cell r="E252" t="str">
            <v>100 GMS</v>
          </cell>
          <cell r="F252">
            <v>134.1</v>
          </cell>
          <cell r="G252">
            <v>18</v>
          </cell>
          <cell r="H252">
            <v>24.137999999999998</v>
          </cell>
          <cell r="I252">
            <v>158.238</v>
          </cell>
        </row>
        <row r="253">
          <cell r="B253" t="str">
            <v>Agastya</v>
          </cell>
          <cell r="C253" t="str">
            <v>Emamectin Benzoate 5% SG</v>
          </cell>
          <cell r="D253" t="str">
            <v>Larva</v>
          </cell>
          <cell r="E253" t="str">
            <v>10 GMS</v>
          </cell>
          <cell r="F253">
            <v>19.71</v>
          </cell>
          <cell r="G253">
            <v>18</v>
          </cell>
          <cell r="H253">
            <v>3.5478000000000001</v>
          </cell>
          <cell r="I253">
            <v>23.2578</v>
          </cell>
        </row>
        <row r="254">
          <cell r="B254" t="str">
            <v>Agastya</v>
          </cell>
          <cell r="C254" t="str">
            <v>Emamectin Benzoate 1.9% EC</v>
          </cell>
          <cell r="D254" t="str">
            <v>Larvex</v>
          </cell>
          <cell r="E254" t="str">
            <v>50 ML</v>
          </cell>
          <cell r="F254">
            <v>103.2</v>
          </cell>
          <cell r="G254">
            <v>18</v>
          </cell>
          <cell r="H254">
            <v>18.576000000000001</v>
          </cell>
          <cell r="I254">
            <v>121.77600000000001</v>
          </cell>
        </row>
        <row r="255">
          <cell r="B255" t="str">
            <v>Agastya</v>
          </cell>
          <cell r="C255" t="str">
            <v>Emamectin Benzoate 1.9% EC</v>
          </cell>
          <cell r="D255" t="str">
            <v>Larvex</v>
          </cell>
          <cell r="E255" t="str">
            <v>1000 ML</v>
          </cell>
          <cell r="F255">
            <v>882</v>
          </cell>
          <cell r="G255">
            <v>18</v>
          </cell>
          <cell r="H255">
            <v>158.76</v>
          </cell>
          <cell r="I255">
            <v>1040.76</v>
          </cell>
        </row>
        <row r="256">
          <cell r="B256" t="str">
            <v>Agastya</v>
          </cell>
          <cell r="C256" t="str">
            <v>Emamectin Benzoate 1.9% EC</v>
          </cell>
          <cell r="D256" t="str">
            <v>Larvex</v>
          </cell>
          <cell r="E256" t="str">
            <v>500 ML</v>
          </cell>
          <cell r="F256">
            <v>451</v>
          </cell>
          <cell r="G256">
            <v>18</v>
          </cell>
          <cell r="H256">
            <v>81.179999999999993</v>
          </cell>
          <cell r="I256">
            <v>532.17999999999995</v>
          </cell>
        </row>
        <row r="257">
          <cell r="B257" t="str">
            <v>Agastya</v>
          </cell>
          <cell r="C257" t="str">
            <v>Emamectin Benzoate 1.9% EC</v>
          </cell>
          <cell r="D257" t="str">
            <v>Larvex</v>
          </cell>
          <cell r="E257" t="str">
            <v>250 ML</v>
          </cell>
          <cell r="F257">
            <v>235.5</v>
          </cell>
          <cell r="G257">
            <v>18</v>
          </cell>
          <cell r="H257">
            <v>42.39</v>
          </cell>
          <cell r="I257">
            <v>277.89</v>
          </cell>
        </row>
        <row r="258">
          <cell r="B258" t="str">
            <v>Agastya</v>
          </cell>
          <cell r="C258" t="str">
            <v>Emamectin Benzoate 1.9% EC</v>
          </cell>
          <cell r="D258" t="str">
            <v>Larvex</v>
          </cell>
          <cell r="E258" t="str">
            <v>100 ML</v>
          </cell>
          <cell r="F258">
            <v>100.2</v>
          </cell>
          <cell r="G258">
            <v>18</v>
          </cell>
          <cell r="H258">
            <v>18.036000000000001</v>
          </cell>
          <cell r="I258">
            <v>118.236</v>
          </cell>
        </row>
        <row r="259">
          <cell r="B259" t="str">
            <v>Agastya</v>
          </cell>
          <cell r="C259" t="str">
            <v>Fipronil 3.5% + Emamectin Benzoate 1.5% SC</v>
          </cell>
          <cell r="D259" t="str">
            <v>Legend</v>
          </cell>
          <cell r="E259" t="str">
            <v>1000 ML</v>
          </cell>
          <cell r="F259">
            <v>961</v>
          </cell>
          <cell r="G259">
            <v>18</v>
          </cell>
          <cell r="H259">
            <v>172.98</v>
          </cell>
          <cell r="I259">
            <v>1133.98</v>
          </cell>
        </row>
        <row r="260">
          <cell r="B260" t="str">
            <v>Agastya</v>
          </cell>
          <cell r="C260" t="str">
            <v>Fipronil 3.5% + Emamectin Benzoate 1.5% SC</v>
          </cell>
          <cell r="D260" t="str">
            <v>Legend</v>
          </cell>
          <cell r="E260" t="str">
            <v>500 ML</v>
          </cell>
          <cell r="F260">
            <v>490.5</v>
          </cell>
          <cell r="G260">
            <v>18</v>
          </cell>
          <cell r="H260">
            <v>88.289999999999992</v>
          </cell>
          <cell r="I260">
            <v>578.79</v>
          </cell>
        </row>
        <row r="261">
          <cell r="B261" t="str">
            <v>Agastya</v>
          </cell>
          <cell r="C261" t="str">
            <v>Fipronil 3.5% + Emamectin Benzoate 1.5% SC</v>
          </cell>
          <cell r="D261" t="str">
            <v>Legend</v>
          </cell>
          <cell r="E261" t="str">
            <v>250 ML</v>
          </cell>
          <cell r="F261">
            <v>250.25</v>
          </cell>
          <cell r="G261">
            <v>18</v>
          </cell>
          <cell r="H261">
            <v>45.045000000000002</v>
          </cell>
          <cell r="I261">
            <v>295.29500000000002</v>
          </cell>
        </row>
        <row r="262">
          <cell r="B262" t="str">
            <v>Agastya</v>
          </cell>
          <cell r="C262" t="str">
            <v>Fipronil 3.5% + Emamectin Benzoate 1.5% SC</v>
          </cell>
          <cell r="D262" t="str">
            <v>Legend</v>
          </cell>
          <cell r="E262" t="str">
            <v>100 ML</v>
          </cell>
          <cell r="F262">
            <v>108.1</v>
          </cell>
          <cell r="G262">
            <v>18</v>
          </cell>
          <cell r="H262">
            <v>19.457999999999998</v>
          </cell>
          <cell r="I262">
            <v>127.55799999999999</v>
          </cell>
        </row>
        <row r="263">
          <cell r="B263" t="str">
            <v>Agastya</v>
          </cell>
          <cell r="C263" t="str">
            <v>Tembotrione 34.4% SC</v>
          </cell>
          <cell r="D263" t="str">
            <v>Lloyd</v>
          </cell>
          <cell r="E263" t="str">
            <v>57.5 ML</v>
          </cell>
          <cell r="F263">
            <v>349</v>
          </cell>
          <cell r="G263">
            <v>18</v>
          </cell>
          <cell r="H263">
            <v>62.82</v>
          </cell>
          <cell r="I263">
            <v>411.82</v>
          </cell>
        </row>
        <row r="264">
          <cell r="B264" t="str">
            <v>Agastya</v>
          </cell>
          <cell r="C264" t="str">
            <v>Tembotrione 34.4% SC</v>
          </cell>
          <cell r="D264" t="str">
            <v>Lloyd</v>
          </cell>
          <cell r="E264" t="str">
            <v>230 ML</v>
          </cell>
          <cell r="F264">
            <v>1220</v>
          </cell>
          <cell r="G264">
            <v>18</v>
          </cell>
          <cell r="H264">
            <v>219.6</v>
          </cell>
          <cell r="I264">
            <v>1439.6</v>
          </cell>
        </row>
        <row r="265">
          <cell r="B265" t="str">
            <v>Agastya</v>
          </cell>
          <cell r="C265" t="str">
            <v>Tembotrione 34.4% SC</v>
          </cell>
          <cell r="D265" t="str">
            <v>Lloyd</v>
          </cell>
          <cell r="E265" t="str">
            <v>115 ML</v>
          </cell>
          <cell r="F265">
            <v>633</v>
          </cell>
          <cell r="G265">
            <v>18</v>
          </cell>
          <cell r="H265">
            <v>113.94</v>
          </cell>
          <cell r="I265">
            <v>746.94</v>
          </cell>
        </row>
        <row r="266">
          <cell r="B266" t="str">
            <v>Agastya</v>
          </cell>
          <cell r="C266" t="str">
            <v>Diuron 80% WP</v>
          </cell>
          <cell r="D266" t="str">
            <v>Lotto</v>
          </cell>
          <cell r="E266" t="str">
            <v>500 GMS</v>
          </cell>
          <cell r="F266">
            <v>400</v>
          </cell>
          <cell r="G266">
            <v>18</v>
          </cell>
          <cell r="H266">
            <v>72</v>
          </cell>
          <cell r="I266">
            <v>472</v>
          </cell>
        </row>
        <row r="267">
          <cell r="B267" t="str">
            <v>Agastya</v>
          </cell>
          <cell r="C267" t="str">
            <v>Propiconazole 10.7% + Tricyclozole 34.2% SE</v>
          </cell>
          <cell r="D267" t="str">
            <v>Lucene Se</v>
          </cell>
          <cell r="E267" t="str">
            <v>1000 ML</v>
          </cell>
          <cell r="F267">
            <v>1531</v>
          </cell>
          <cell r="G267">
            <v>18</v>
          </cell>
          <cell r="H267">
            <v>275.58</v>
          </cell>
          <cell r="I267">
            <v>1806.58</v>
          </cell>
        </row>
        <row r="268">
          <cell r="B268" t="str">
            <v>Agastya</v>
          </cell>
          <cell r="C268" t="str">
            <v>Propiconazole 10.7% + Tricyclozole 34.2% SE</v>
          </cell>
          <cell r="D268" t="str">
            <v>Lucene Se</v>
          </cell>
          <cell r="E268" t="str">
            <v>500 ML</v>
          </cell>
          <cell r="F268">
            <v>775.5</v>
          </cell>
          <cell r="G268">
            <v>18</v>
          </cell>
          <cell r="H268">
            <v>139.59</v>
          </cell>
          <cell r="I268">
            <v>915.09</v>
          </cell>
        </row>
        <row r="269">
          <cell r="B269" t="str">
            <v>Agastya</v>
          </cell>
          <cell r="C269" t="str">
            <v>Propiconazole 10.7% + Tricyclozole 34.2% SE</v>
          </cell>
          <cell r="D269" t="str">
            <v>Lucene Se</v>
          </cell>
          <cell r="E269" t="str">
            <v>300 ML</v>
          </cell>
          <cell r="F269">
            <v>471.3</v>
          </cell>
          <cell r="G269">
            <v>18</v>
          </cell>
          <cell r="H269">
            <v>84.834000000000003</v>
          </cell>
          <cell r="I269">
            <v>556.13400000000001</v>
          </cell>
        </row>
        <row r="270">
          <cell r="B270" t="str">
            <v>Agastya</v>
          </cell>
          <cell r="C270" t="str">
            <v>Lufenuron 5.4% EC</v>
          </cell>
          <cell r="D270" t="str">
            <v>Magnet</v>
          </cell>
          <cell r="E270" t="str">
            <v>1000 ML</v>
          </cell>
          <cell r="F270">
            <v>1766</v>
          </cell>
          <cell r="G270">
            <v>18</v>
          </cell>
          <cell r="H270">
            <v>317.88</v>
          </cell>
          <cell r="I270">
            <v>2083.88</v>
          </cell>
        </row>
        <row r="271">
          <cell r="B271" t="str">
            <v>Agastya</v>
          </cell>
          <cell r="C271" t="str">
            <v>Lufenuron 5.4% EC</v>
          </cell>
          <cell r="D271" t="str">
            <v>Magnet</v>
          </cell>
          <cell r="E271" t="str">
            <v>500 ML</v>
          </cell>
          <cell r="F271">
            <v>893</v>
          </cell>
          <cell r="G271">
            <v>18</v>
          </cell>
          <cell r="H271">
            <v>160.73999999999998</v>
          </cell>
          <cell r="I271">
            <v>1053.74</v>
          </cell>
        </row>
        <row r="272">
          <cell r="B272" t="str">
            <v>Agastya</v>
          </cell>
          <cell r="C272" t="str">
            <v>Lufenuron 5.4% EC</v>
          </cell>
          <cell r="D272" t="str">
            <v>Magnet</v>
          </cell>
          <cell r="E272" t="str">
            <v>250 ML</v>
          </cell>
          <cell r="F272">
            <v>456.5</v>
          </cell>
          <cell r="G272">
            <v>18</v>
          </cell>
          <cell r="H272">
            <v>82.17</v>
          </cell>
          <cell r="I272">
            <v>538.66999999999996</v>
          </cell>
        </row>
        <row r="273">
          <cell r="B273" t="str">
            <v>Agastya</v>
          </cell>
          <cell r="C273" t="str">
            <v>Lufenuron 5.4% EC</v>
          </cell>
          <cell r="D273" t="str">
            <v>Magnet</v>
          </cell>
          <cell r="E273" t="str">
            <v>100 ML</v>
          </cell>
          <cell r="F273">
            <v>186.6</v>
          </cell>
          <cell r="G273">
            <v>18</v>
          </cell>
          <cell r="H273">
            <v>33.588000000000001</v>
          </cell>
          <cell r="I273">
            <v>220.18799999999999</v>
          </cell>
        </row>
        <row r="274">
          <cell r="B274" t="str">
            <v>Agastya</v>
          </cell>
          <cell r="C274" t="str">
            <v>Mesotrione 2.27% + Atrazine 22.7% SC</v>
          </cell>
          <cell r="D274" t="str">
            <v>Maize Star</v>
          </cell>
          <cell r="E274" t="str">
            <v>700 ML</v>
          </cell>
          <cell r="F274">
            <v>543.5</v>
          </cell>
          <cell r="G274">
            <v>18</v>
          </cell>
          <cell r="H274">
            <v>97.83</v>
          </cell>
          <cell r="I274">
            <v>641.33000000000004</v>
          </cell>
        </row>
        <row r="275">
          <cell r="B275" t="str">
            <v>Agastya</v>
          </cell>
          <cell r="C275" t="str">
            <v>Mesotrione 2.27% + Atrazine 22.7% SC</v>
          </cell>
          <cell r="D275" t="str">
            <v>Maize Star</v>
          </cell>
          <cell r="E275" t="str">
            <v>1400 ML</v>
          </cell>
          <cell r="F275">
            <v>1067</v>
          </cell>
          <cell r="G275">
            <v>18</v>
          </cell>
          <cell r="H275">
            <v>192.06</v>
          </cell>
          <cell r="I275">
            <v>1259.06</v>
          </cell>
        </row>
        <row r="276">
          <cell r="B276" t="str">
            <v>Agastya</v>
          </cell>
          <cell r="C276" t="str">
            <v>Metalaxyl M 4% + Mancozeb 64% WP</v>
          </cell>
          <cell r="D276" t="str">
            <v>Mancomet</v>
          </cell>
          <cell r="E276" t="str">
            <v>1000 GMS</v>
          </cell>
          <cell r="F276">
            <v>624</v>
          </cell>
          <cell r="G276">
            <v>18</v>
          </cell>
          <cell r="H276">
            <v>112.32</v>
          </cell>
          <cell r="I276">
            <v>736.31999999999994</v>
          </cell>
        </row>
        <row r="277">
          <cell r="B277" t="str">
            <v>Agastya</v>
          </cell>
          <cell r="C277" t="str">
            <v>Metalaxyl M 4% + Mancozeb 64% WP</v>
          </cell>
          <cell r="D277" t="str">
            <v>Mancomet</v>
          </cell>
          <cell r="E277" t="str">
            <v>500 GMS</v>
          </cell>
          <cell r="F277">
            <v>317</v>
          </cell>
          <cell r="G277">
            <v>18</v>
          </cell>
          <cell r="H277">
            <v>57.059999999999995</v>
          </cell>
          <cell r="I277">
            <v>374.06</v>
          </cell>
        </row>
        <row r="278">
          <cell r="B278" t="str">
            <v>Agastya</v>
          </cell>
          <cell r="C278" t="str">
            <v>Metalaxyl M 4% + Mancozeb 64% WP</v>
          </cell>
          <cell r="D278" t="str">
            <v>Mancomet</v>
          </cell>
          <cell r="E278" t="str">
            <v>100 GMS</v>
          </cell>
          <cell r="F278">
            <v>67.400000000000006</v>
          </cell>
          <cell r="G278">
            <v>18</v>
          </cell>
          <cell r="H278">
            <v>12.132000000000001</v>
          </cell>
          <cell r="I278">
            <v>79.532000000000011</v>
          </cell>
        </row>
        <row r="279">
          <cell r="B279" t="str">
            <v>Agastya</v>
          </cell>
          <cell r="C279" t="str">
            <v>Metalaxyl M 4% + Mancozeb 64% WP</v>
          </cell>
          <cell r="D279" t="str">
            <v>Mancomet</v>
          </cell>
          <cell r="E279" t="str">
            <v>250 GMS</v>
          </cell>
          <cell r="F279">
            <v>163.5</v>
          </cell>
          <cell r="G279">
            <v>18</v>
          </cell>
          <cell r="H279">
            <v>29.43</v>
          </cell>
          <cell r="I279">
            <v>192.93</v>
          </cell>
        </row>
        <row r="280">
          <cell r="B280" t="str">
            <v>Agastya</v>
          </cell>
          <cell r="C280" t="str">
            <v>Thiamethoxam 12.6% + Lambda Cyhalothrin 9.5% ZC</v>
          </cell>
          <cell r="D280" t="str">
            <v>Mash</v>
          </cell>
          <cell r="E280" t="str">
            <v>1000 ML</v>
          </cell>
          <cell r="F280">
            <v>620</v>
          </cell>
          <cell r="G280">
            <v>18</v>
          </cell>
          <cell r="H280">
            <v>111.6</v>
          </cell>
          <cell r="I280">
            <v>731.6</v>
          </cell>
        </row>
        <row r="281">
          <cell r="B281" t="str">
            <v>Agastya</v>
          </cell>
          <cell r="C281" t="str">
            <v>Thiamethoxam 12.6% + Lambda Cyhalothrin 9.5% ZC</v>
          </cell>
          <cell r="D281" t="str">
            <v>Mash</v>
          </cell>
          <cell r="E281" t="str">
            <v>500 ML</v>
          </cell>
          <cell r="F281">
            <v>320</v>
          </cell>
          <cell r="G281">
            <v>18</v>
          </cell>
          <cell r="H281">
            <v>57.599999999999994</v>
          </cell>
          <cell r="I281">
            <v>377.6</v>
          </cell>
        </row>
        <row r="282">
          <cell r="B282" t="str">
            <v>Agastya</v>
          </cell>
          <cell r="C282" t="str">
            <v>Thiamethoxam 12.6% + Lambda Cyhalothrin 9.5% ZC</v>
          </cell>
          <cell r="D282" t="str">
            <v>Mash</v>
          </cell>
          <cell r="E282" t="str">
            <v>200 ML</v>
          </cell>
          <cell r="F282">
            <v>132</v>
          </cell>
          <cell r="G282">
            <v>18</v>
          </cell>
          <cell r="H282">
            <v>23.759999999999998</v>
          </cell>
          <cell r="I282">
            <v>155.76</v>
          </cell>
        </row>
        <row r="283">
          <cell r="B283" t="str">
            <v>Agastya</v>
          </cell>
          <cell r="C283" t="str">
            <v>Thiamethoxam 12.6% + Lambda Cyhalothrin 9.5% ZC</v>
          </cell>
          <cell r="D283" t="str">
            <v>Mash</v>
          </cell>
          <cell r="E283" t="str">
            <v>100 ML</v>
          </cell>
          <cell r="F283">
            <v>72</v>
          </cell>
          <cell r="G283">
            <v>18</v>
          </cell>
          <cell r="H283">
            <v>12.959999999999999</v>
          </cell>
          <cell r="I283">
            <v>84.96</v>
          </cell>
        </row>
        <row r="284">
          <cell r="B284" t="str">
            <v>Agastya</v>
          </cell>
          <cell r="C284" t="str">
            <v>Thiamethoxam 12.6% + Lambda Cyhalothrin 9.5% ZC</v>
          </cell>
          <cell r="D284" t="str">
            <v>Mash</v>
          </cell>
          <cell r="E284" t="str">
            <v>80 ML</v>
          </cell>
          <cell r="F284">
            <v>56.8</v>
          </cell>
          <cell r="G284">
            <v>18</v>
          </cell>
          <cell r="H284">
            <v>10.223999999999998</v>
          </cell>
          <cell r="I284">
            <v>67.024000000000001</v>
          </cell>
        </row>
        <row r="285">
          <cell r="B285" t="str">
            <v>Agastya</v>
          </cell>
          <cell r="C285" t="str">
            <v>Dinotefuran 15% + Pymetrozine 45% WG</v>
          </cell>
          <cell r="D285" t="str">
            <v>Mega Star</v>
          </cell>
          <cell r="E285" t="str">
            <v>333 GMS</v>
          </cell>
          <cell r="F285">
            <v>905</v>
          </cell>
          <cell r="G285">
            <v>18</v>
          </cell>
          <cell r="H285">
            <v>162.9</v>
          </cell>
          <cell r="I285">
            <v>1067.9000000000001</v>
          </cell>
        </row>
        <row r="286">
          <cell r="B286" t="str">
            <v>Agastya</v>
          </cell>
          <cell r="C286" t="str">
            <v>Dinotefuran 15% + Pymetrozine 45% WG</v>
          </cell>
          <cell r="D286" t="str">
            <v>Mega Star</v>
          </cell>
          <cell r="E286" t="str">
            <v>133.2 GMS</v>
          </cell>
          <cell r="F286">
            <v>382</v>
          </cell>
          <cell r="G286">
            <v>18</v>
          </cell>
          <cell r="H286">
            <v>68.759999999999991</v>
          </cell>
          <cell r="I286">
            <v>450.76</v>
          </cell>
        </row>
        <row r="287">
          <cell r="B287" t="str">
            <v>Agastya</v>
          </cell>
          <cell r="C287" t="str">
            <v>Fenpyroximate 5% SC</v>
          </cell>
          <cell r="D287" t="str">
            <v>Nina</v>
          </cell>
          <cell r="E287" t="str">
            <v>1000 ML</v>
          </cell>
          <cell r="F287">
            <v>945</v>
          </cell>
          <cell r="G287">
            <v>18</v>
          </cell>
          <cell r="H287">
            <v>170.1</v>
          </cell>
          <cell r="I287">
            <v>1115.0999999999999</v>
          </cell>
        </row>
        <row r="288">
          <cell r="B288" t="str">
            <v>Agastya</v>
          </cell>
          <cell r="C288" t="str">
            <v>Fenpyroximate 5% SC</v>
          </cell>
          <cell r="D288" t="str">
            <v>Nina</v>
          </cell>
          <cell r="E288" t="str">
            <v>500 ML</v>
          </cell>
          <cell r="F288">
            <v>480</v>
          </cell>
          <cell r="G288">
            <v>18</v>
          </cell>
          <cell r="H288">
            <v>86.399999999999991</v>
          </cell>
          <cell r="I288">
            <v>566.4</v>
          </cell>
        </row>
        <row r="289">
          <cell r="B289" t="str">
            <v>Agastya</v>
          </cell>
          <cell r="C289" t="str">
            <v>Fenpyroximate 5% SC</v>
          </cell>
          <cell r="D289" t="str">
            <v>Nina</v>
          </cell>
          <cell r="E289" t="str">
            <v>250 ML</v>
          </cell>
          <cell r="F289">
            <v>243.75</v>
          </cell>
          <cell r="G289">
            <v>18</v>
          </cell>
          <cell r="H289">
            <v>43.875</v>
          </cell>
          <cell r="I289">
            <v>287.625</v>
          </cell>
        </row>
        <row r="290">
          <cell r="B290" t="str">
            <v>Agastya</v>
          </cell>
          <cell r="C290" t="str">
            <v>Fenpyroximate 5% SC</v>
          </cell>
          <cell r="D290" t="str">
            <v>Nina</v>
          </cell>
          <cell r="E290" t="str">
            <v>100 ML</v>
          </cell>
          <cell r="F290">
            <v>102</v>
          </cell>
          <cell r="G290">
            <v>18</v>
          </cell>
          <cell r="H290">
            <v>18.36</v>
          </cell>
          <cell r="I290">
            <v>120.36</v>
          </cell>
        </row>
        <row r="291">
          <cell r="B291" t="str">
            <v>Agastya</v>
          </cell>
          <cell r="C291" t="str">
            <v>Novaluron 10% EC</v>
          </cell>
          <cell r="D291" t="str">
            <v>Nuron</v>
          </cell>
          <cell r="E291" t="str">
            <v>1000 ML</v>
          </cell>
          <cell r="F291">
            <v>2246</v>
          </cell>
          <cell r="G291">
            <v>18</v>
          </cell>
          <cell r="H291">
            <v>404.28</v>
          </cell>
          <cell r="I291">
            <v>2650.2799999999997</v>
          </cell>
        </row>
        <row r="292">
          <cell r="B292" t="str">
            <v>Agastya</v>
          </cell>
          <cell r="C292" t="str">
            <v>Novaluron 10% EC</v>
          </cell>
          <cell r="D292" t="str">
            <v>Nuron</v>
          </cell>
          <cell r="E292" t="str">
            <v>500 ML</v>
          </cell>
          <cell r="F292">
            <v>1133</v>
          </cell>
          <cell r="G292">
            <v>18</v>
          </cell>
          <cell r="H292">
            <v>203.94</v>
          </cell>
          <cell r="I292">
            <v>1336.94</v>
          </cell>
        </row>
        <row r="293">
          <cell r="B293" t="str">
            <v>Agastya</v>
          </cell>
          <cell r="C293" t="str">
            <v>Novaluron 10% EC</v>
          </cell>
          <cell r="D293" t="str">
            <v>Nuron</v>
          </cell>
          <cell r="E293" t="str">
            <v>250 ML</v>
          </cell>
          <cell r="F293">
            <v>577</v>
          </cell>
          <cell r="G293">
            <v>18</v>
          </cell>
          <cell r="H293">
            <v>103.86</v>
          </cell>
          <cell r="I293">
            <v>680.86</v>
          </cell>
        </row>
        <row r="294">
          <cell r="B294" t="str">
            <v>Agastya</v>
          </cell>
          <cell r="C294" t="str">
            <v>Novaluron 10% EC</v>
          </cell>
          <cell r="D294" t="str">
            <v>Nuron</v>
          </cell>
          <cell r="E294" t="str">
            <v>100 ML</v>
          </cell>
          <cell r="F294">
            <v>237</v>
          </cell>
          <cell r="G294">
            <v>18</v>
          </cell>
          <cell r="H294">
            <v>42.66</v>
          </cell>
          <cell r="I294">
            <v>279.65999999999997</v>
          </cell>
        </row>
        <row r="295">
          <cell r="B295" t="str">
            <v>Agastya</v>
          </cell>
          <cell r="C295" t="str">
            <v>Spiromesifen 22.9% SC</v>
          </cell>
          <cell r="D295" t="str">
            <v>Opera</v>
          </cell>
          <cell r="E295" t="str">
            <v>1000 ML</v>
          </cell>
          <cell r="F295">
            <v>2705</v>
          </cell>
          <cell r="G295">
            <v>18</v>
          </cell>
          <cell r="H295">
            <v>486.9</v>
          </cell>
          <cell r="I295">
            <v>3191.9</v>
          </cell>
        </row>
        <row r="296">
          <cell r="B296" t="str">
            <v>Agastya</v>
          </cell>
          <cell r="C296" t="str">
            <v>Spiromesifen 22.9% SC</v>
          </cell>
          <cell r="D296" t="str">
            <v>Opera</v>
          </cell>
          <cell r="E296" t="str">
            <v>500 ML</v>
          </cell>
          <cell r="F296">
            <v>1367.5</v>
          </cell>
          <cell r="G296">
            <v>18</v>
          </cell>
          <cell r="H296">
            <v>246.14999999999998</v>
          </cell>
          <cell r="I296">
            <v>1613.65</v>
          </cell>
        </row>
        <row r="297">
          <cell r="B297" t="str">
            <v>Agastya</v>
          </cell>
          <cell r="C297" t="str">
            <v>Spiromesifen 22.9% SC</v>
          </cell>
          <cell r="D297" t="str">
            <v>Opera</v>
          </cell>
          <cell r="E297" t="str">
            <v>200 ML</v>
          </cell>
          <cell r="F297">
            <v>553</v>
          </cell>
          <cell r="G297">
            <v>18</v>
          </cell>
          <cell r="H297">
            <v>99.539999999999992</v>
          </cell>
          <cell r="I297">
            <v>652.54</v>
          </cell>
        </row>
        <row r="298">
          <cell r="B298" t="str">
            <v>Agastya</v>
          </cell>
          <cell r="C298" t="str">
            <v>Spiromesifen 22.9% SC</v>
          </cell>
          <cell r="D298" t="str">
            <v>Opera</v>
          </cell>
          <cell r="E298" t="str">
            <v>100 ML</v>
          </cell>
          <cell r="F298">
            <v>285.5</v>
          </cell>
          <cell r="G298">
            <v>18</v>
          </cell>
          <cell r="H298">
            <v>51.39</v>
          </cell>
          <cell r="I298">
            <v>336.89</v>
          </cell>
        </row>
        <row r="299">
          <cell r="B299" t="str">
            <v>Agastya</v>
          </cell>
          <cell r="C299" t="str">
            <v>Oxyfluorfen 23.5% EC</v>
          </cell>
          <cell r="D299" t="str">
            <v>Oxygan</v>
          </cell>
          <cell r="E299" t="str">
            <v>100 ML</v>
          </cell>
          <cell r="F299">
            <v>99.2</v>
          </cell>
          <cell r="G299">
            <v>18</v>
          </cell>
          <cell r="H299">
            <v>17.855999999999998</v>
          </cell>
          <cell r="I299">
            <v>117.056</v>
          </cell>
        </row>
        <row r="300">
          <cell r="B300" t="str">
            <v>Agastya</v>
          </cell>
          <cell r="C300" t="str">
            <v>Oxyfluorfen 23.5% EC</v>
          </cell>
          <cell r="D300" t="str">
            <v>Oxygan</v>
          </cell>
          <cell r="E300" t="str">
            <v>50 ML</v>
          </cell>
          <cell r="F300">
            <v>53.1</v>
          </cell>
          <cell r="G300">
            <v>18</v>
          </cell>
          <cell r="H300">
            <v>9.5579999999999998</v>
          </cell>
          <cell r="I300">
            <v>62.658000000000001</v>
          </cell>
        </row>
        <row r="301">
          <cell r="B301" t="str">
            <v>Agastya</v>
          </cell>
          <cell r="C301" t="str">
            <v>Oxyfluorfen 23.5% EC</v>
          </cell>
          <cell r="D301" t="str">
            <v>Oxygan</v>
          </cell>
          <cell r="E301" t="str">
            <v>1000 ML</v>
          </cell>
          <cell r="F301">
            <v>912</v>
          </cell>
          <cell r="G301">
            <v>18</v>
          </cell>
          <cell r="H301">
            <v>164.16</v>
          </cell>
          <cell r="I301">
            <v>1076.1600000000001</v>
          </cell>
        </row>
        <row r="302">
          <cell r="B302" t="str">
            <v>Agastya</v>
          </cell>
          <cell r="C302" t="str">
            <v>Oxyfluorfen 23.5% EC</v>
          </cell>
          <cell r="D302" t="str">
            <v>Oxygan</v>
          </cell>
          <cell r="E302" t="str">
            <v>5000 ML</v>
          </cell>
          <cell r="F302">
            <v>4535</v>
          </cell>
          <cell r="G302">
            <v>18</v>
          </cell>
          <cell r="H302">
            <v>816.3</v>
          </cell>
          <cell r="I302">
            <v>5351.3</v>
          </cell>
        </row>
        <row r="303">
          <cell r="B303" t="str">
            <v>Agastya</v>
          </cell>
          <cell r="C303" t="str">
            <v>Oxyfluorfen 23.5% EC</v>
          </cell>
          <cell r="D303" t="str">
            <v>Oxygan</v>
          </cell>
          <cell r="E303" t="str">
            <v>500 ML</v>
          </cell>
          <cell r="F303">
            <v>466</v>
          </cell>
          <cell r="G303">
            <v>18</v>
          </cell>
          <cell r="H303">
            <v>83.88</v>
          </cell>
          <cell r="I303">
            <v>549.88</v>
          </cell>
        </row>
        <row r="304">
          <cell r="B304" t="str">
            <v>Agastya</v>
          </cell>
          <cell r="C304" t="str">
            <v>Oxyfluorfen 23.5% EC</v>
          </cell>
          <cell r="D304" t="str">
            <v>Oxygan</v>
          </cell>
          <cell r="E304" t="str">
            <v>250 ML</v>
          </cell>
          <cell r="F304">
            <v>238</v>
          </cell>
          <cell r="G304">
            <v>18</v>
          </cell>
          <cell r="H304">
            <v>42.839999999999996</v>
          </cell>
          <cell r="I304">
            <v>280.83999999999997</v>
          </cell>
        </row>
        <row r="305">
          <cell r="B305" t="str">
            <v>Agastya</v>
          </cell>
          <cell r="C305" t="str">
            <v>Phenthoate 50% EC</v>
          </cell>
          <cell r="D305" t="str">
            <v>Pow</v>
          </cell>
          <cell r="E305" t="str">
            <v>500 ML</v>
          </cell>
          <cell r="F305">
            <v>350</v>
          </cell>
          <cell r="G305">
            <v>18</v>
          </cell>
          <cell r="H305">
            <v>63</v>
          </cell>
          <cell r="I305">
            <v>413</v>
          </cell>
        </row>
        <row r="306">
          <cell r="B306" t="str">
            <v>Agastya</v>
          </cell>
          <cell r="C306" t="str">
            <v>Phenthoate 50% EC</v>
          </cell>
          <cell r="D306" t="str">
            <v>Pow</v>
          </cell>
          <cell r="E306" t="str">
            <v>1000 ML</v>
          </cell>
          <cell r="F306">
            <v>665</v>
          </cell>
          <cell r="G306">
            <v>18</v>
          </cell>
          <cell r="H306">
            <v>119.69999999999999</v>
          </cell>
          <cell r="I306">
            <v>784.7</v>
          </cell>
        </row>
        <row r="307">
          <cell r="B307" t="str">
            <v>Agastya</v>
          </cell>
          <cell r="C307" t="str">
            <v>Phenthoate 50% EC</v>
          </cell>
          <cell r="D307" t="str">
            <v>Pow</v>
          </cell>
          <cell r="E307" t="str">
            <v>100 ML</v>
          </cell>
          <cell r="F307">
            <v>75</v>
          </cell>
          <cell r="G307">
            <v>18</v>
          </cell>
          <cell r="H307">
            <v>13.5</v>
          </cell>
          <cell r="I307">
            <v>88.5</v>
          </cell>
        </row>
        <row r="308">
          <cell r="B308" t="str">
            <v>Agastya</v>
          </cell>
          <cell r="C308" t="str">
            <v>Phenthoate 50% EC</v>
          </cell>
          <cell r="D308" t="str">
            <v>Pow</v>
          </cell>
          <cell r="E308" t="str">
            <v>250 ML</v>
          </cell>
          <cell r="F308">
            <v>175.25</v>
          </cell>
          <cell r="G308">
            <v>18</v>
          </cell>
          <cell r="H308">
            <v>31.544999999999998</v>
          </cell>
          <cell r="I308">
            <v>206.79499999999999</v>
          </cell>
        </row>
        <row r="309">
          <cell r="B309" t="str">
            <v>Agastya</v>
          </cell>
          <cell r="C309" t="str">
            <v>Phenthoate 50% EC</v>
          </cell>
          <cell r="D309" t="str">
            <v>Pow</v>
          </cell>
          <cell r="E309" t="str">
            <v>20000 ML</v>
          </cell>
          <cell r="F309">
            <v>13360</v>
          </cell>
          <cell r="G309">
            <v>18</v>
          </cell>
          <cell r="H309">
            <v>2404.7999999999997</v>
          </cell>
          <cell r="I309">
            <v>15764.8</v>
          </cell>
        </row>
        <row r="310">
          <cell r="B310" t="str">
            <v>Agastya</v>
          </cell>
          <cell r="C310" t="str">
            <v>Diafenthiuron 50% WP</v>
          </cell>
          <cell r="D310" t="str">
            <v>Red Label</v>
          </cell>
          <cell r="E310" t="str">
            <v>25 GMS</v>
          </cell>
          <cell r="F310">
            <v>37.380000000000003</v>
          </cell>
          <cell r="G310">
            <v>18</v>
          </cell>
          <cell r="H310">
            <v>6.7284000000000006</v>
          </cell>
          <cell r="I310">
            <v>44.108400000000003</v>
          </cell>
        </row>
        <row r="311">
          <cell r="B311" t="str">
            <v>Agastya</v>
          </cell>
          <cell r="C311" t="str">
            <v>Diafenthiuron 50% WP</v>
          </cell>
          <cell r="D311" t="str">
            <v>Red Label</v>
          </cell>
          <cell r="E311" t="str">
            <v>250 GMS</v>
          </cell>
          <cell r="F311">
            <v>362</v>
          </cell>
          <cell r="G311">
            <v>18</v>
          </cell>
          <cell r="H311">
            <v>65.16</v>
          </cell>
          <cell r="I311">
            <v>427.15999999999997</v>
          </cell>
        </row>
        <row r="312">
          <cell r="B312" t="str">
            <v>Agastya</v>
          </cell>
          <cell r="C312" t="str">
            <v>Ethephon 39% SL</v>
          </cell>
          <cell r="D312" t="str">
            <v>Riphon</v>
          </cell>
          <cell r="E312" t="str">
            <v>1000 ML</v>
          </cell>
          <cell r="F312">
            <v>567</v>
          </cell>
          <cell r="G312">
            <v>18</v>
          </cell>
          <cell r="H312">
            <v>102.06</v>
          </cell>
          <cell r="I312">
            <v>669.06</v>
          </cell>
        </row>
        <row r="313">
          <cell r="B313" t="str">
            <v>Agastya</v>
          </cell>
          <cell r="C313" t="str">
            <v>Ethephon 39% SL</v>
          </cell>
          <cell r="D313" t="str">
            <v>Riphon</v>
          </cell>
          <cell r="E313" t="str">
            <v>500 ML</v>
          </cell>
          <cell r="F313">
            <v>291</v>
          </cell>
          <cell r="G313">
            <v>18</v>
          </cell>
          <cell r="H313">
            <v>52.379999999999995</v>
          </cell>
          <cell r="I313">
            <v>343.38</v>
          </cell>
        </row>
        <row r="314">
          <cell r="B314" t="str">
            <v>Agastya</v>
          </cell>
          <cell r="C314" t="str">
            <v>Ethephon 39% SL</v>
          </cell>
          <cell r="D314" t="str">
            <v>Riphon</v>
          </cell>
          <cell r="E314" t="str">
            <v>250 ML</v>
          </cell>
          <cell r="F314">
            <v>149.25</v>
          </cell>
          <cell r="G314">
            <v>18</v>
          </cell>
          <cell r="H314">
            <v>26.864999999999998</v>
          </cell>
          <cell r="I314">
            <v>176.11500000000001</v>
          </cell>
        </row>
        <row r="315">
          <cell r="B315" t="str">
            <v>Agastya</v>
          </cell>
          <cell r="C315" t="str">
            <v>Ethephon 39% SL</v>
          </cell>
          <cell r="D315" t="str">
            <v>Riphon</v>
          </cell>
          <cell r="E315" t="str">
            <v>100 ML</v>
          </cell>
          <cell r="F315">
            <v>64.2</v>
          </cell>
          <cell r="G315">
            <v>18</v>
          </cell>
          <cell r="H315">
            <v>11.556000000000001</v>
          </cell>
          <cell r="I315">
            <v>75.756</v>
          </cell>
        </row>
        <row r="316">
          <cell r="B316" t="str">
            <v>Agastya</v>
          </cell>
          <cell r="C316" t="str">
            <v xml:space="preserve">Thiophenate Methyl 70% WP </v>
          </cell>
          <cell r="D316" t="str">
            <v>Roak</v>
          </cell>
          <cell r="E316" t="str">
            <v>1000 GMS</v>
          </cell>
          <cell r="F316">
            <v>620</v>
          </cell>
          <cell r="G316">
            <v>18</v>
          </cell>
          <cell r="H316">
            <v>111.6</v>
          </cell>
          <cell r="I316">
            <v>731.6</v>
          </cell>
        </row>
        <row r="317">
          <cell r="B317" t="str">
            <v>Agastya</v>
          </cell>
          <cell r="C317" t="str">
            <v xml:space="preserve">Thiophenate Methyl 70% WP </v>
          </cell>
          <cell r="D317" t="str">
            <v>Roak</v>
          </cell>
          <cell r="E317" t="str">
            <v>500 GMS</v>
          </cell>
          <cell r="F317">
            <v>315</v>
          </cell>
          <cell r="G317">
            <v>18</v>
          </cell>
          <cell r="H317">
            <v>56.699999999999996</v>
          </cell>
          <cell r="I317">
            <v>371.7</v>
          </cell>
        </row>
        <row r="318">
          <cell r="B318" t="str">
            <v>Agastya</v>
          </cell>
          <cell r="C318" t="str">
            <v xml:space="preserve">Thiophenate Methyl 70% WP </v>
          </cell>
          <cell r="D318" t="str">
            <v>Roak</v>
          </cell>
          <cell r="E318" t="str">
            <v>400 GMS</v>
          </cell>
          <cell r="F318">
            <v>252</v>
          </cell>
          <cell r="G318">
            <v>18</v>
          </cell>
          <cell r="H318">
            <v>45.36</v>
          </cell>
          <cell r="I318">
            <v>297.36</v>
          </cell>
        </row>
        <row r="319">
          <cell r="B319" t="str">
            <v>Agastya</v>
          </cell>
          <cell r="C319" t="str">
            <v xml:space="preserve">Thiophenate Methyl 70% WP </v>
          </cell>
          <cell r="D319" t="str">
            <v>Roak</v>
          </cell>
          <cell r="E319" t="str">
            <v>250 GMS</v>
          </cell>
          <cell r="F319">
            <v>162.5</v>
          </cell>
          <cell r="G319">
            <v>18</v>
          </cell>
          <cell r="H319">
            <v>29.25</v>
          </cell>
          <cell r="I319">
            <v>191.75</v>
          </cell>
        </row>
        <row r="320">
          <cell r="B320" t="str">
            <v>Agastya</v>
          </cell>
          <cell r="C320" t="str">
            <v xml:space="preserve">Thiophenate Methyl 70% WP </v>
          </cell>
          <cell r="D320" t="str">
            <v>Roak</v>
          </cell>
          <cell r="E320" t="str">
            <v>100 GMS</v>
          </cell>
          <cell r="F320">
            <v>67</v>
          </cell>
          <cell r="G320">
            <v>18</v>
          </cell>
          <cell r="H320">
            <v>12.059999999999999</v>
          </cell>
          <cell r="I320">
            <v>79.06</v>
          </cell>
        </row>
        <row r="321">
          <cell r="B321" t="str">
            <v>Agastya</v>
          </cell>
          <cell r="C321" t="str">
            <v>Thiamethoxam 30% FS</v>
          </cell>
          <cell r="D321" t="str">
            <v>Ruff</v>
          </cell>
          <cell r="E321" t="str">
            <v>1000 ML</v>
          </cell>
          <cell r="F321">
            <v>820</v>
          </cell>
          <cell r="G321">
            <v>18</v>
          </cell>
          <cell r="H321">
            <v>147.6</v>
          </cell>
          <cell r="I321">
            <v>967.6</v>
          </cell>
        </row>
        <row r="322">
          <cell r="B322" t="str">
            <v>Agastya</v>
          </cell>
          <cell r="C322" t="str">
            <v>Thiamethoxam 30% FS</v>
          </cell>
          <cell r="D322" t="str">
            <v>Ruff</v>
          </cell>
          <cell r="E322" t="str">
            <v>500 ML</v>
          </cell>
          <cell r="F322">
            <v>420</v>
          </cell>
          <cell r="G322">
            <v>18</v>
          </cell>
          <cell r="H322">
            <v>75.599999999999994</v>
          </cell>
          <cell r="I322">
            <v>495.6</v>
          </cell>
        </row>
        <row r="323">
          <cell r="B323" t="str">
            <v>Agastya</v>
          </cell>
          <cell r="C323" t="str">
            <v>Thiamethoxam 30% FS</v>
          </cell>
          <cell r="D323" t="str">
            <v>Ruff</v>
          </cell>
          <cell r="E323" t="str">
            <v>250 ML</v>
          </cell>
          <cell r="F323">
            <v>222.5</v>
          </cell>
          <cell r="G323">
            <v>18</v>
          </cell>
          <cell r="H323">
            <v>40.049999999999997</v>
          </cell>
          <cell r="I323">
            <v>262.55</v>
          </cell>
        </row>
        <row r="324">
          <cell r="B324" t="str">
            <v>Agastya</v>
          </cell>
          <cell r="C324" t="str">
            <v>Thiamethoxam 30% FS</v>
          </cell>
          <cell r="D324" t="str">
            <v>Ruff</v>
          </cell>
          <cell r="E324" t="str">
            <v>100 ML</v>
          </cell>
          <cell r="F324">
            <v>99</v>
          </cell>
          <cell r="G324">
            <v>18</v>
          </cell>
          <cell r="H324">
            <v>17.82</v>
          </cell>
          <cell r="I324">
            <v>116.82</v>
          </cell>
        </row>
        <row r="325">
          <cell r="B325" t="str">
            <v>Agastya</v>
          </cell>
          <cell r="C325" t="str">
            <v>Carbendazim 25% + Mancozeb 50% WS</v>
          </cell>
          <cell r="D325" t="str">
            <v>Runner</v>
          </cell>
          <cell r="E325" t="str">
            <v>1000 GMS</v>
          </cell>
          <cell r="F325">
            <v>875</v>
          </cell>
          <cell r="G325">
            <v>18</v>
          </cell>
          <cell r="H325">
            <v>157.5</v>
          </cell>
          <cell r="I325">
            <v>1032.5</v>
          </cell>
        </row>
        <row r="326">
          <cell r="B326" t="str">
            <v>Agastya</v>
          </cell>
          <cell r="C326" t="str">
            <v>Carbendazim 25% + Mancozeb 50% WS</v>
          </cell>
          <cell r="D326" t="str">
            <v>Runner</v>
          </cell>
          <cell r="E326" t="str">
            <v>500 GMS</v>
          </cell>
          <cell r="F326">
            <v>443</v>
          </cell>
          <cell r="G326">
            <v>18</v>
          </cell>
          <cell r="H326">
            <v>79.739999999999995</v>
          </cell>
          <cell r="I326">
            <v>522.74</v>
          </cell>
        </row>
        <row r="327">
          <cell r="B327" t="str">
            <v>Agastya</v>
          </cell>
          <cell r="C327" t="str">
            <v>Carbendazim 25% + Mancozeb 50% WS</v>
          </cell>
          <cell r="D327" t="str">
            <v>Runner</v>
          </cell>
          <cell r="E327" t="str">
            <v>250 GMS</v>
          </cell>
          <cell r="F327">
            <v>233</v>
          </cell>
          <cell r="G327">
            <v>18</v>
          </cell>
          <cell r="H327">
            <v>41.94</v>
          </cell>
          <cell r="I327">
            <v>274.94</v>
          </cell>
        </row>
        <row r="328">
          <cell r="B328" t="str">
            <v>Agastya</v>
          </cell>
          <cell r="C328" t="str">
            <v>Pyrazosulfuron Ethyl 10% WP</v>
          </cell>
          <cell r="D328" t="str">
            <v>Sathaa</v>
          </cell>
          <cell r="E328" t="str">
            <v>80 GMS</v>
          </cell>
          <cell r="F328">
            <v>80</v>
          </cell>
          <cell r="G328">
            <v>18</v>
          </cell>
          <cell r="H328">
            <v>14.399999999999999</v>
          </cell>
          <cell r="I328">
            <v>94.4</v>
          </cell>
        </row>
        <row r="329">
          <cell r="B329" t="str">
            <v>Agastya</v>
          </cell>
          <cell r="C329" t="str">
            <v>Sulpher 65% + Tebuconazole 10% WG</v>
          </cell>
          <cell r="D329" t="str">
            <v>Shine</v>
          </cell>
          <cell r="E329" t="str">
            <v>1000 GMS</v>
          </cell>
          <cell r="F329">
            <v>368</v>
          </cell>
          <cell r="G329">
            <v>18</v>
          </cell>
          <cell r="H329">
            <v>66.239999999999995</v>
          </cell>
          <cell r="I329">
            <v>434.24</v>
          </cell>
        </row>
        <row r="330">
          <cell r="B330" t="str">
            <v>Agastya</v>
          </cell>
          <cell r="C330" t="str">
            <v>Sulpher 65% + Tebuconazole 10% WG</v>
          </cell>
          <cell r="D330" t="str">
            <v>Shine</v>
          </cell>
          <cell r="E330" t="str">
            <v>500 GMS</v>
          </cell>
          <cell r="F330">
            <v>194</v>
          </cell>
          <cell r="G330">
            <v>18</v>
          </cell>
          <cell r="H330">
            <v>34.92</v>
          </cell>
          <cell r="I330">
            <v>228.92000000000002</v>
          </cell>
        </row>
        <row r="331">
          <cell r="B331" t="str">
            <v>Agastya</v>
          </cell>
          <cell r="C331" t="str">
            <v>Sulpher 65% + Tebuconazole 10% WG</v>
          </cell>
          <cell r="D331" t="str">
            <v>Shine</v>
          </cell>
          <cell r="E331" t="str">
            <v>250 GMS</v>
          </cell>
          <cell r="F331">
            <v>107</v>
          </cell>
          <cell r="G331">
            <v>18</v>
          </cell>
          <cell r="H331">
            <v>19.259999999999998</v>
          </cell>
          <cell r="I331">
            <v>126.25999999999999</v>
          </cell>
        </row>
        <row r="332">
          <cell r="B332" t="str">
            <v>Agastya</v>
          </cell>
          <cell r="C332" t="str">
            <v>Cypermethrin 10% + Indoxacarb 10% W/W SC</v>
          </cell>
          <cell r="D332" t="str">
            <v>Singha</v>
          </cell>
          <cell r="E332" t="str">
            <v>1000 ML</v>
          </cell>
          <cell r="F332">
            <v>2200</v>
          </cell>
          <cell r="G332">
            <v>18</v>
          </cell>
          <cell r="H332">
            <v>396</v>
          </cell>
          <cell r="I332">
            <v>2596</v>
          </cell>
        </row>
        <row r="333">
          <cell r="B333" t="str">
            <v>Agastya</v>
          </cell>
          <cell r="C333" t="str">
            <v>Cypermethrin 10% + Indoxacarb 10% W/W SC</v>
          </cell>
          <cell r="D333" t="str">
            <v>Singha</v>
          </cell>
          <cell r="E333" t="str">
            <v>500 ML</v>
          </cell>
          <cell r="F333">
            <v>1110</v>
          </cell>
          <cell r="G333">
            <v>18</v>
          </cell>
          <cell r="H333">
            <v>199.79999999999998</v>
          </cell>
          <cell r="I333">
            <v>1309.8</v>
          </cell>
        </row>
        <row r="334">
          <cell r="B334" t="str">
            <v>Agastya</v>
          </cell>
          <cell r="C334" t="str">
            <v>Cypermethrin 10% + Indoxacarb 10% W/W SC</v>
          </cell>
          <cell r="D334" t="str">
            <v>Singha</v>
          </cell>
          <cell r="E334" t="str">
            <v>250 ML</v>
          </cell>
          <cell r="F334">
            <v>560</v>
          </cell>
          <cell r="G334">
            <v>18</v>
          </cell>
          <cell r="H334">
            <v>100.8</v>
          </cell>
          <cell r="I334">
            <v>660.8</v>
          </cell>
        </row>
        <row r="335">
          <cell r="B335" t="str">
            <v>Agastya</v>
          </cell>
          <cell r="C335" t="str">
            <v>Cypermethrin 10% + Indoxacarb 10% W/W SC</v>
          </cell>
          <cell r="D335" t="str">
            <v>Singha</v>
          </cell>
          <cell r="E335" t="str">
            <v>100 ML</v>
          </cell>
          <cell r="F335">
            <v>230</v>
          </cell>
          <cell r="G335">
            <v>18</v>
          </cell>
          <cell r="H335">
            <v>41.4</v>
          </cell>
          <cell r="I335">
            <v>271.39999999999998</v>
          </cell>
        </row>
        <row r="336">
          <cell r="B336" t="str">
            <v>Agastya</v>
          </cell>
          <cell r="C336" t="str">
            <v>Myclobutanil 10% WP</v>
          </cell>
          <cell r="D336" t="str">
            <v>Sophia</v>
          </cell>
          <cell r="E336" t="str">
            <v>1000 GMS</v>
          </cell>
          <cell r="F336">
            <v>711</v>
          </cell>
          <cell r="G336">
            <v>18</v>
          </cell>
          <cell r="H336">
            <v>127.97999999999999</v>
          </cell>
          <cell r="I336">
            <v>838.98</v>
          </cell>
        </row>
        <row r="337">
          <cell r="B337" t="str">
            <v>Agastya</v>
          </cell>
          <cell r="C337" t="str">
            <v>Myclobutanil 10% WP</v>
          </cell>
          <cell r="D337" t="str">
            <v>Sophia</v>
          </cell>
          <cell r="E337" t="str">
            <v>100 GMS</v>
          </cell>
          <cell r="F337">
            <v>77.099999999999994</v>
          </cell>
          <cell r="G337">
            <v>18</v>
          </cell>
          <cell r="H337">
            <v>13.877999999999998</v>
          </cell>
          <cell r="I337">
            <v>90.977999999999994</v>
          </cell>
        </row>
        <row r="338">
          <cell r="B338" t="str">
            <v>Agastya</v>
          </cell>
          <cell r="C338" t="str">
            <v>Myclobutanil 10% WP</v>
          </cell>
          <cell r="D338" t="str">
            <v>Sophia</v>
          </cell>
          <cell r="E338" t="str">
            <v>250 GMS</v>
          </cell>
          <cell r="F338">
            <v>185.25</v>
          </cell>
          <cell r="G338">
            <v>18</v>
          </cell>
          <cell r="H338">
            <v>33.344999999999999</v>
          </cell>
          <cell r="I338">
            <v>218.595</v>
          </cell>
        </row>
        <row r="339">
          <cell r="B339" t="str">
            <v>Agastya</v>
          </cell>
          <cell r="C339" t="str">
            <v>Myclobutanil 10% WP</v>
          </cell>
          <cell r="D339" t="str">
            <v>Sophia</v>
          </cell>
          <cell r="E339" t="str">
            <v>100 GMS</v>
          </cell>
          <cell r="F339">
            <v>77.099999999999994</v>
          </cell>
          <cell r="G339">
            <v>18</v>
          </cell>
          <cell r="H339">
            <v>13.877999999999998</v>
          </cell>
          <cell r="I339">
            <v>90.977999999999994</v>
          </cell>
        </row>
        <row r="340">
          <cell r="B340" t="str">
            <v>Agastya</v>
          </cell>
          <cell r="C340" t="str">
            <v>Pyriproxifen 10% + Bifenthrin 10% EC</v>
          </cell>
          <cell r="D340" t="str">
            <v>Stuff</v>
          </cell>
          <cell r="E340" t="str">
            <v>1000 ML</v>
          </cell>
          <cell r="F340">
            <v>1060</v>
          </cell>
          <cell r="G340">
            <v>18</v>
          </cell>
          <cell r="H340">
            <v>190.79999999999998</v>
          </cell>
          <cell r="I340">
            <v>1250.8</v>
          </cell>
        </row>
        <row r="341">
          <cell r="B341" t="str">
            <v>Agastya</v>
          </cell>
          <cell r="C341" t="str">
            <v>Pyriproxifen 10% + Bifenthrin 10% EC</v>
          </cell>
          <cell r="D341" t="str">
            <v>Stuff</v>
          </cell>
          <cell r="E341" t="str">
            <v>500 ML</v>
          </cell>
          <cell r="F341">
            <v>537.5</v>
          </cell>
          <cell r="G341">
            <v>18</v>
          </cell>
          <cell r="H341">
            <v>96.75</v>
          </cell>
          <cell r="I341">
            <v>634.25</v>
          </cell>
        </row>
        <row r="342">
          <cell r="B342" t="str">
            <v>Agastya</v>
          </cell>
          <cell r="C342" t="str">
            <v>Pyriproxifen 10% + Bifenthrin 10% EC</v>
          </cell>
          <cell r="D342" t="str">
            <v>Stuff</v>
          </cell>
          <cell r="E342" t="str">
            <v>250 ML</v>
          </cell>
          <cell r="F342">
            <v>272.5</v>
          </cell>
          <cell r="G342">
            <v>18</v>
          </cell>
          <cell r="H342">
            <v>49.05</v>
          </cell>
          <cell r="I342">
            <v>321.55</v>
          </cell>
        </row>
        <row r="343">
          <cell r="B343" t="str">
            <v>Agastya</v>
          </cell>
          <cell r="C343" t="str">
            <v>Pyriproxifen 10% + Bifenthrin 10% EC</v>
          </cell>
          <cell r="D343" t="str">
            <v>Stuff</v>
          </cell>
          <cell r="E343" t="str">
            <v>100 ML</v>
          </cell>
          <cell r="F343">
            <v>113.5</v>
          </cell>
          <cell r="G343">
            <v>18</v>
          </cell>
          <cell r="H343">
            <v>20.43</v>
          </cell>
          <cell r="I343">
            <v>133.93</v>
          </cell>
        </row>
        <row r="344">
          <cell r="B344" t="str">
            <v>Agastya</v>
          </cell>
          <cell r="C344" t="str">
            <v xml:space="preserve">Imidacloprid 30.5% SC </v>
          </cell>
          <cell r="D344" t="str">
            <v>Super Aalfidor</v>
          </cell>
          <cell r="E344" t="str">
            <v>100 ML</v>
          </cell>
          <cell r="F344">
            <v>114</v>
          </cell>
          <cell r="G344">
            <v>18</v>
          </cell>
          <cell r="H344">
            <v>20.52</v>
          </cell>
          <cell r="I344">
            <v>134.52000000000001</v>
          </cell>
        </row>
        <row r="345">
          <cell r="B345" t="str">
            <v>Agastya</v>
          </cell>
          <cell r="C345" t="str">
            <v xml:space="preserve">Imidacloprid 30.5% SC </v>
          </cell>
          <cell r="D345" t="str">
            <v>Super Aalfidor</v>
          </cell>
          <cell r="E345" t="str">
            <v>1000 ML</v>
          </cell>
          <cell r="F345">
            <v>1065</v>
          </cell>
          <cell r="G345">
            <v>18</v>
          </cell>
          <cell r="H345">
            <v>191.7</v>
          </cell>
          <cell r="I345">
            <v>1256.7</v>
          </cell>
        </row>
        <row r="346">
          <cell r="B346" t="str">
            <v>Agastya</v>
          </cell>
          <cell r="C346" t="str">
            <v xml:space="preserve">Imidacloprid 30.5% SC </v>
          </cell>
          <cell r="D346" t="str">
            <v>Super Aalfidor</v>
          </cell>
          <cell r="E346" t="str">
            <v>500 ML</v>
          </cell>
          <cell r="F346">
            <v>540</v>
          </cell>
          <cell r="G346">
            <v>18</v>
          </cell>
          <cell r="H346">
            <v>97.2</v>
          </cell>
          <cell r="I346">
            <v>637.20000000000005</v>
          </cell>
        </row>
        <row r="347">
          <cell r="B347" t="str">
            <v>Agastya</v>
          </cell>
          <cell r="C347" t="str">
            <v xml:space="preserve">Imidacloprid 30.5% SC </v>
          </cell>
          <cell r="D347" t="str">
            <v>Super Aalfidor</v>
          </cell>
          <cell r="E347" t="str">
            <v>250 ML</v>
          </cell>
          <cell r="F347">
            <v>273.75</v>
          </cell>
          <cell r="G347">
            <v>18</v>
          </cell>
          <cell r="H347">
            <v>49.274999999999999</v>
          </cell>
          <cell r="I347">
            <v>323.02499999999998</v>
          </cell>
        </row>
        <row r="348">
          <cell r="B348" t="str">
            <v>Agastya</v>
          </cell>
          <cell r="C348" t="str">
            <v xml:space="preserve">Imidacloprid 30.5% SC </v>
          </cell>
          <cell r="D348" t="str">
            <v>Super Aalfidor</v>
          </cell>
          <cell r="E348" t="str">
            <v>50 ML</v>
          </cell>
          <cell r="F348">
            <v>58.75</v>
          </cell>
          <cell r="G348">
            <v>18</v>
          </cell>
          <cell r="H348">
            <v>10.574999999999999</v>
          </cell>
          <cell r="I348">
            <v>69.325000000000003</v>
          </cell>
        </row>
        <row r="349">
          <cell r="B349" t="str">
            <v>Agastya</v>
          </cell>
          <cell r="C349" t="str">
            <v>Tolfenpyrad 15% EC</v>
          </cell>
          <cell r="D349" t="str">
            <v>T.Fen</v>
          </cell>
          <cell r="E349" t="str">
            <v>1000 ML</v>
          </cell>
          <cell r="F349">
            <v>1464</v>
          </cell>
          <cell r="G349">
            <v>18</v>
          </cell>
          <cell r="H349">
            <v>263.52</v>
          </cell>
          <cell r="I349">
            <v>1727.52</v>
          </cell>
        </row>
        <row r="350">
          <cell r="B350" t="str">
            <v>Agastya</v>
          </cell>
          <cell r="C350" t="str">
            <v>Tolfenpyrad 15% EC</v>
          </cell>
          <cell r="D350" t="str">
            <v>T.Fen</v>
          </cell>
          <cell r="E350" t="str">
            <v>500 ML</v>
          </cell>
          <cell r="F350">
            <v>742</v>
          </cell>
          <cell r="G350">
            <v>18</v>
          </cell>
          <cell r="H350">
            <v>133.56</v>
          </cell>
          <cell r="I350">
            <v>875.56</v>
          </cell>
        </row>
        <row r="351">
          <cell r="B351" t="str">
            <v>Agastya</v>
          </cell>
          <cell r="C351" t="str">
            <v>Tolfenpyrad 15% EC</v>
          </cell>
          <cell r="D351" t="str">
            <v>T.Fen</v>
          </cell>
          <cell r="E351" t="str">
            <v>250 ML</v>
          </cell>
          <cell r="F351">
            <v>381</v>
          </cell>
          <cell r="G351">
            <v>18</v>
          </cell>
          <cell r="H351">
            <v>68.58</v>
          </cell>
          <cell r="I351">
            <v>449.58</v>
          </cell>
        </row>
        <row r="352">
          <cell r="B352" t="str">
            <v>Agastya</v>
          </cell>
          <cell r="C352" t="str">
            <v>Tolfenpyrad 15% EC</v>
          </cell>
          <cell r="D352" t="str">
            <v>T.Fen</v>
          </cell>
          <cell r="E352" t="str">
            <v>100 ML</v>
          </cell>
          <cell r="F352">
            <v>156.4</v>
          </cell>
          <cell r="G352">
            <v>18</v>
          </cell>
          <cell r="H352">
            <v>28.152000000000001</v>
          </cell>
          <cell r="I352">
            <v>184.55200000000002</v>
          </cell>
        </row>
        <row r="353">
          <cell r="B353" t="str">
            <v>Agastya</v>
          </cell>
          <cell r="C353" t="str">
            <v>Diafenthiuron 47.8% SC</v>
          </cell>
          <cell r="D353" t="str">
            <v>Tesla</v>
          </cell>
          <cell r="E353" t="str">
            <v>1000 ML</v>
          </cell>
          <cell r="F353">
            <v>1620</v>
          </cell>
          <cell r="G353">
            <v>18</v>
          </cell>
          <cell r="H353">
            <v>291.59999999999997</v>
          </cell>
          <cell r="I353">
            <v>1911.6</v>
          </cell>
        </row>
        <row r="354">
          <cell r="B354" t="str">
            <v>Agastya</v>
          </cell>
          <cell r="C354" t="str">
            <v>Diafenthiuron 47.8% SC</v>
          </cell>
          <cell r="D354" t="str">
            <v>Tesla</v>
          </cell>
          <cell r="E354" t="str">
            <v>500 ML</v>
          </cell>
          <cell r="F354">
            <v>835</v>
          </cell>
          <cell r="G354">
            <v>18</v>
          </cell>
          <cell r="H354">
            <v>150.29999999999998</v>
          </cell>
          <cell r="I354">
            <v>985.3</v>
          </cell>
        </row>
        <row r="355">
          <cell r="B355" t="str">
            <v>Agastya</v>
          </cell>
          <cell r="C355" t="str">
            <v>Diafenthiuron 47.8% SC</v>
          </cell>
          <cell r="D355" t="str">
            <v>Tesla</v>
          </cell>
          <cell r="E355" t="str">
            <v>250 ML</v>
          </cell>
          <cell r="F355">
            <v>430</v>
          </cell>
          <cell r="G355">
            <v>18</v>
          </cell>
          <cell r="H355">
            <v>77.399999999999991</v>
          </cell>
          <cell r="I355">
            <v>507.4</v>
          </cell>
        </row>
        <row r="356">
          <cell r="B356" t="str">
            <v>Agastya</v>
          </cell>
          <cell r="C356" t="str">
            <v>Lambda Cyhalothrin 4.9% CS</v>
          </cell>
          <cell r="D356" t="str">
            <v>Thrill</v>
          </cell>
          <cell r="E356" t="str">
            <v>1000 ML</v>
          </cell>
          <cell r="F356">
            <v>300</v>
          </cell>
          <cell r="G356">
            <v>18</v>
          </cell>
          <cell r="H356">
            <v>54</v>
          </cell>
          <cell r="I356">
            <v>354</v>
          </cell>
        </row>
        <row r="357">
          <cell r="B357" t="str">
            <v>Agastya</v>
          </cell>
          <cell r="C357" t="str">
            <v>Lambda Cyhalothrin 4.9% CS</v>
          </cell>
          <cell r="D357" t="str">
            <v>Thrill</v>
          </cell>
          <cell r="E357" t="str">
            <v>500 ML</v>
          </cell>
          <cell r="F357">
            <v>157.5</v>
          </cell>
          <cell r="G357">
            <v>18</v>
          </cell>
          <cell r="H357">
            <v>28.349999999999998</v>
          </cell>
          <cell r="I357">
            <v>185.85</v>
          </cell>
        </row>
        <row r="358">
          <cell r="B358" t="str">
            <v>Agastya</v>
          </cell>
          <cell r="C358" t="str">
            <v>Lambda Cyhalothrin 4.9% CS</v>
          </cell>
          <cell r="D358" t="str">
            <v>Thrill</v>
          </cell>
          <cell r="E358" t="str">
            <v>250 ML</v>
          </cell>
          <cell r="F358">
            <v>82.5</v>
          </cell>
          <cell r="G358">
            <v>18</v>
          </cell>
          <cell r="H358">
            <v>14.85</v>
          </cell>
          <cell r="I358">
            <v>97.35</v>
          </cell>
        </row>
        <row r="359">
          <cell r="B359" t="str">
            <v>Agastya</v>
          </cell>
          <cell r="C359" t="str">
            <v>Acephate 35% + Buprofezin 15% WP</v>
          </cell>
          <cell r="D359" t="str">
            <v>Topaz</v>
          </cell>
          <cell r="E359" t="str">
            <v>1000 GMS</v>
          </cell>
          <cell r="F359">
            <v>588</v>
          </cell>
          <cell r="G359">
            <v>18</v>
          </cell>
          <cell r="H359">
            <v>105.83999999999999</v>
          </cell>
          <cell r="I359">
            <v>693.84</v>
          </cell>
        </row>
        <row r="360">
          <cell r="B360" t="str">
            <v>Agastya</v>
          </cell>
          <cell r="C360" t="str">
            <v>Acephate 35% + Buprofezin 15% WP</v>
          </cell>
          <cell r="D360" t="str">
            <v>Topaz</v>
          </cell>
          <cell r="E360" t="str">
            <v>100 GMS</v>
          </cell>
          <cell r="F360">
            <v>63.8</v>
          </cell>
          <cell r="G360">
            <v>18</v>
          </cell>
          <cell r="H360">
            <v>11.483999999999998</v>
          </cell>
          <cell r="I360">
            <v>75.283999999999992</v>
          </cell>
        </row>
        <row r="361">
          <cell r="B361" t="str">
            <v>Agastya</v>
          </cell>
          <cell r="C361" t="str">
            <v>Acephate 35% + Buprofezin 15% WP</v>
          </cell>
          <cell r="D361" t="str">
            <v>Topaz</v>
          </cell>
          <cell r="E361" t="str">
            <v>500 GMS</v>
          </cell>
          <cell r="F361">
            <v>299</v>
          </cell>
          <cell r="G361">
            <v>18</v>
          </cell>
          <cell r="H361">
            <v>53.82</v>
          </cell>
          <cell r="I361">
            <v>352.82</v>
          </cell>
        </row>
        <row r="362">
          <cell r="B362" t="str">
            <v>Agastya</v>
          </cell>
          <cell r="C362" t="str">
            <v>Acephate 35% + Buprofezin 15% WP</v>
          </cell>
          <cell r="D362" t="str">
            <v>Topaz</v>
          </cell>
          <cell r="E362" t="str">
            <v>250 GMS</v>
          </cell>
          <cell r="F362">
            <v>154.5</v>
          </cell>
          <cell r="G362">
            <v>18</v>
          </cell>
          <cell r="H362">
            <v>27.81</v>
          </cell>
          <cell r="I362">
            <v>182.31</v>
          </cell>
        </row>
        <row r="363">
          <cell r="B363" t="str">
            <v>Agastya</v>
          </cell>
          <cell r="C363" t="str">
            <v>Tricontanol 0.1% EW</v>
          </cell>
          <cell r="D363" t="str">
            <v>Trinol</v>
          </cell>
          <cell r="E363" t="str">
            <v>1000 ML</v>
          </cell>
          <cell r="F363">
            <v>200</v>
          </cell>
          <cell r="G363">
            <v>18</v>
          </cell>
          <cell r="H363">
            <v>36</v>
          </cell>
          <cell r="I363">
            <v>236</v>
          </cell>
        </row>
        <row r="364">
          <cell r="B364" t="str">
            <v>Agastya</v>
          </cell>
          <cell r="C364" t="str">
            <v>Tricontanol 0.1% EW</v>
          </cell>
          <cell r="D364" t="str">
            <v>Trinol</v>
          </cell>
          <cell r="E364" t="str">
            <v>5000 ML</v>
          </cell>
          <cell r="F364">
            <v>975</v>
          </cell>
          <cell r="G364">
            <v>18</v>
          </cell>
          <cell r="H364">
            <v>175.5</v>
          </cell>
          <cell r="I364">
            <v>1150.5</v>
          </cell>
        </row>
        <row r="365">
          <cell r="B365" t="str">
            <v>Agastya</v>
          </cell>
          <cell r="C365" t="str">
            <v>Tricontanol 0.1% EW</v>
          </cell>
          <cell r="D365" t="str">
            <v>Trinol</v>
          </cell>
          <cell r="E365" t="str">
            <v>500 ML</v>
          </cell>
          <cell r="F365">
            <v>106</v>
          </cell>
          <cell r="G365">
            <v>18</v>
          </cell>
          <cell r="H365">
            <v>19.079999999999998</v>
          </cell>
          <cell r="I365">
            <v>125.08</v>
          </cell>
        </row>
        <row r="366">
          <cell r="B366" t="str">
            <v>Agastya</v>
          </cell>
          <cell r="C366" t="str">
            <v>Tricontanol 0.1% EW</v>
          </cell>
          <cell r="D366" t="str">
            <v>Trinol</v>
          </cell>
          <cell r="E366" t="str">
            <v>250 ML</v>
          </cell>
          <cell r="F366">
            <v>57.5</v>
          </cell>
          <cell r="G366">
            <v>18</v>
          </cell>
          <cell r="H366">
            <v>10.35</v>
          </cell>
          <cell r="I366">
            <v>67.849999999999994</v>
          </cell>
        </row>
        <row r="367">
          <cell r="B367" t="str">
            <v>Agastya</v>
          </cell>
          <cell r="C367" t="str">
            <v>Tricontanol 0.1% EW</v>
          </cell>
          <cell r="D367" t="str">
            <v>Trinol</v>
          </cell>
          <cell r="E367" t="str">
            <v>100 ML</v>
          </cell>
          <cell r="F367">
            <v>27.5</v>
          </cell>
          <cell r="G367">
            <v>18</v>
          </cell>
          <cell r="H367">
            <v>4.95</v>
          </cell>
          <cell r="I367">
            <v>32.450000000000003</v>
          </cell>
        </row>
        <row r="368">
          <cell r="B368" t="str">
            <v>Agastya</v>
          </cell>
          <cell r="C368" t="str">
            <v>Azoxystrobin 16.7% + Tebuconazole 33.3% SC</v>
          </cell>
          <cell r="D368" t="str">
            <v>Trizoxa</v>
          </cell>
          <cell r="E368" t="str">
            <v>1000 ML</v>
          </cell>
          <cell r="F368">
            <v>2139</v>
          </cell>
          <cell r="G368">
            <v>18</v>
          </cell>
          <cell r="H368">
            <v>385.02</v>
          </cell>
          <cell r="I368">
            <v>2524.02</v>
          </cell>
        </row>
        <row r="369">
          <cell r="B369" t="str">
            <v>Agastya</v>
          </cell>
          <cell r="C369" t="str">
            <v>Azoxystrobin 16.7% + Tebuconazole 33.3% SC</v>
          </cell>
          <cell r="D369" t="str">
            <v>Trizoxa</v>
          </cell>
          <cell r="E369" t="str">
            <v>500 ML</v>
          </cell>
          <cell r="F369">
            <v>1079.5</v>
          </cell>
          <cell r="G369">
            <v>18</v>
          </cell>
          <cell r="H369">
            <v>194.31</v>
          </cell>
          <cell r="I369">
            <v>1273.81</v>
          </cell>
        </row>
        <row r="370">
          <cell r="B370" t="str">
            <v>Agastya</v>
          </cell>
          <cell r="C370" t="str">
            <v>Azoxystrobin 16.7% + Tebuconazole 33.3% SC</v>
          </cell>
          <cell r="D370" t="str">
            <v>Trizoxa</v>
          </cell>
          <cell r="E370" t="str">
            <v>250 ML</v>
          </cell>
          <cell r="F370">
            <v>544.75</v>
          </cell>
          <cell r="G370">
            <v>18</v>
          </cell>
          <cell r="H370">
            <v>98.054999999999993</v>
          </cell>
          <cell r="I370">
            <v>642.80499999999995</v>
          </cell>
        </row>
        <row r="371">
          <cell r="B371" t="str">
            <v>Agastya</v>
          </cell>
          <cell r="C371" t="str">
            <v>Azoxystrobin 6.8% + Tricyclozole 20.4% SC</v>
          </cell>
          <cell r="D371" t="str">
            <v>Trizoxa Gold</v>
          </cell>
          <cell r="E371" t="str">
            <v>1000 ML</v>
          </cell>
          <cell r="F371">
            <v>1365</v>
          </cell>
          <cell r="G371">
            <v>18</v>
          </cell>
          <cell r="H371">
            <v>245.7</v>
          </cell>
          <cell r="I371">
            <v>1610.7</v>
          </cell>
        </row>
        <row r="372">
          <cell r="B372" t="str">
            <v>Agastya</v>
          </cell>
          <cell r="C372" t="str">
            <v>Azoxystrobin 6.8% + Tricyclozole 20.4% SC</v>
          </cell>
          <cell r="D372" t="str">
            <v>Trizoxa Gold</v>
          </cell>
          <cell r="E372" t="str">
            <v>400 ML</v>
          </cell>
          <cell r="F372">
            <v>554</v>
          </cell>
          <cell r="G372">
            <v>18</v>
          </cell>
          <cell r="H372">
            <v>99.72</v>
          </cell>
          <cell r="I372">
            <v>653.72</v>
          </cell>
        </row>
        <row r="373">
          <cell r="B373" t="str">
            <v>Agastya</v>
          </cell>
          <cell r="C373" t="str">
            <v>Azoxystrobin 6.8% + Tricyclozole 20.4% SC</v>
          </cell>
          <cell r="D373" t="str">
            <v>Trizoxa Gold</v>
          </cell>
          <cell r="E373" t="str">
            <v>2000 ML</v>
          </cell>
          <cell r="F373">
            <v>6800</v>
          </cell>
          <cell r="G373">
            <v>18</v>
          </cell>
          <cell r="H373">
            <v>1224</v>
          </cell>
          <cell r="I373">
            <v>8024</v>
          </cell>
        </row>
        <row r="374">
          <cell r="B374" t="str">
            <v>Agastya</v>
          </cell>
          <cell r="C374" t="str">
            <v>Azoxystrobin 6.8% + Tricyclozole 20.4% SC</v>
          </cell>
          <cell r="D374" t="str">
            <v>Trizoxa Gold</v>
          </cell>
          <cell r="E374" t="str">
            <v>100 ML</v>
          </cell>
          <cell r="F374">
            <v>148.5</v>
          </cell>
          <cell r="G374">
            <v>18</v>
          </cell>
          <cell r="H374">
            <v>26.73</v>
          </cell>
          <cell r="I374">
            <v>175.23</v>
          </cell>
        </row>
        <row r="375">
          <cell r="B375" t="str">
            <v>Agastya</v>
          </cell>
          <cell r="C375" t="str">
            <v>Propaquizafop 10% EC</v>
          </cell>
          <cell r="D375" t="str">
            <v>Vigil</v>
          </cell>
          <cell r="E375" t="str">
            <v>500 ML</v>
          </cell>
          <cell r="F375">
            <v>0</v>
          </cell>
          <cell r="G375">
            <v>18</v>
          </cell>
          <cell r="H375">
            <v>0</v>
          </cell>
          <cell r="I375">
            <v>0</v>
          </cell>
        </row>
        <row r="376">
          <cell r="B376" t="str">
            <v>Agastya</v>
          </cell>
          <cell r="C376" t="str">
            <v>Propaquizafop 10% EC</v>
          </cell>
          <cell r="D376" t="str">
            <v>Vigil</v>
          </cell>
          <cell r="E376" t="str">
            <v>250 ML</v>
          </cell>
          <cell r="F376">
            <v>0</v>
          </cell>
          <cell r="G376">
            <v>18</v>
          </cell>
          <cell r="H376">
            <v>0</v>
          </cell>
          <cell r="I376">
            <v>0</v>
          </cell>
        </row>
        <row r="377">
          <cell r="B377" t="str">
            <v>Agastya</v>
          </cell>
          <cell r="C377" t="str">
            <v>Propaquizafop 10% EC</v>
          </cell>
          <cell r="D377" t="str">
            <v>Vigil</v>
          </cell>
          <cell r="E377" t="str">
            <v>100 ML</v>
          </cell>
          <cell r="F377">
            <v>0</v>
          </cell>
          <cell r="G377">
            <v>18</v>
          </cell>
          <cell r="H377">
            <v>0</v>
          </cell>
          <cell r="I377">
            <v>0</v>
          </cell>
        </row>
        <row r="378">
          <cell r="B378" t="str">
            <v>Agastya</v>
          </cell>
          <cell r="C378" t="str">
            <v>Cyhalofop Butyl 5.1% + Penoxsulam 1.02% OD</v>
          </cell>
          <cell r="D378" t="str">
            <v>Viva Gold</v>
          </cell>
          <cell r="E378" t="str">
            <v>1000 ML</v>
          </cell>
          <cell r="F378">
            <v>920</v>
          </cell>
          <cell r="G378">
            <v>18</v>
          </cell>
          <cell r="H378">
            <v>165.6</v>
          </cell>
          <cell r="I378">
            <v>1085.5999999999999</v>
          </cell>
        </row>
        <row r="379">
          <cell r="B379" t="str">
            <v>Agastya</v>
          </cell>
          <cell r="C379" t="str">
            <v>Cyhalofop Butyl 5.1% + Penoxsulam 1.02% OD</v>
          </cell>
          <cell r="D379" t="str">
            <v>Viva Gold</v>
          </cell>
          <cell r="E379" t="str">
            <v>400 ML</v>
          </cell>
          <cell r="F379">
            <v>376</v>
          </cell>
          <cell r="G379">
            <v>18</v>
          </cell>
          <cell r="H379">
            <v>67.679999999999993</v>
          </cell>
          <cell r="I379">
            <v>443.68</v>
          </cell>
        </row>
        <row r="380">
          <cell r="B380" t="str">
            <v>Agastya</v>
          </cell>
          <cell r="C380" t="str">
            <v>Zinc Oxide 39.5% SC</v>
          </cell>
          <cell r="D380" t="str">
            <v>Zinca</v>
          </cell>
          <cell r="E380" t="str">
            <v>1000 ML</v>
          </cell>
          <cell r="F380">
            <v>850</v>
          </cell>
          <cell r="G380">
            <v>18</v>
          </cell>
          <cell r="H380">
            <v>153</v>
          </cell>
          <cell r="I380">
            <v>1003</v>
          </cell>
        </row>
        <row r="381">
          <cell r="B381" t="str">
            <v>Agastya</v>
          </cell>
          <cell r="C381" t="str">
            <v>Zinc Oxide 39.5% SC</v>
          </cell>
          <cell r="D381" t="str">
            <v>Zinca</v>
          </cell>
          <cell r="E381" t="str">
            <v>500 ML</v>
          </cell>
          <cell r="F381">
            <v>433</v>
          </cell>
          <cell r="G381">
            <v>18</v>
          </cell>
          <cell r="H381">
            <v>77.94</v>
          </cell>
          <cell r="I381">
            <v>510.94</v>
          </cell>
        </row>
        <row r="382">
          <cell r="B382" t="str">
            <v>Agastya</v>
          </cell>
          <cell r="C382" t="str">
            <v>Zinc Oxide 39.5% SC</v>
          </cell>
          <cell r="D382" t="str">
            <v>Zinca</v>
          </cell>
          <cell r="E382" t="str">
            <v>250 ML</v>
          </cell>
          <cell r="F382">
            <v>220</v>
          </cell>
          <cell r="G382">
            <v>18</v>
          </cell>
          <cell r="H382">
            <v>39.6</v>
          </cell>
          <cell r="I382">
            <v>259.60000000000002</v>
          </cell>
        </row>
        <row r="383">
          <cell r="B383" t="str">
            <v>Agastya</v>
          </cell>
          <cell r="C383" t="str">
            <v>Dimethoate 30% EC</v>
          </cell>
          <cell r="D383" t="str">
            <v>Aagor</v>
          </cell>
          <cell r="E383" t="str">
            <v>5000 ML</v>
          </cell>
          <cell r="F383">
            <v>2355</v>
          </cell>
          <cell r="G383">
            <v>18</v>
          </cell>
          <cell r="H383">
            <v>423.9</v>
          </cell>
          <cell r="I383">
            <v>2778.9</v>
          </cell>
        </row>
        <row r="384">
          <cell r="B384" t="str">
            <v>Agastya</v>
          </cell>
          <cell r="C384" t="str">
            <v>Dimethoate 30% EC</v>
          </cell>
          <cell r="D384" t="str">
            <v>Aagor</v>
          </cell>
          <cell r="E384" t="str">
            <v>100 ML</v>
          </cell>
          <cell r="F384">
            <v>53.3</v>
          </cell>
          <cell r="G384">
            <v>18</v>
          </cell>
          <cell r="H384">
            <v>9.5939999999999994</v>
          </cell>
          <cell r="I384">
            <v>62.893999999999998</v>
          </cell>
        </row>
        <row r="385">
          <cell r="B385" t="str">
            <v>Agastya</v>
          </cell>
          <cell r="C385" t="str">
            <v>Dimethoate 30% EC</v>
          </cell>
          <cell r="D385" t="str">
            <v>Aagor</v>
          </cell>
          <cell r="E385" t="str">
            <v>1000 ML</v>
          </cell>
          <cell r="F385">
            <v>463</v>
          </cell>
          <cell r="G385">
            <v>18</v>
          </cell>
          <cell r="H385">
            <v>83.34</v>
          </cell>
          <cell r="I385">
            <v>546.34</v>
          </cell>
        </row>
        <row r="386">
          <cell r="B386" t="str">
            <v>Agastya</v>
          </cell>
          <cell r="C386" t="str">
            <v>Dimethoate 30% EC</v>
          </cell>
          <cell r="D386" t="str">
            <v>Aagor</v>
          </cell>
          <cell r="E386" t="str">
            <v>500 ML</v>
          </cell>
          <cell r="F386">
            <v>239</v>
          </cell>
          <cell r="G386">
            <v>18</v>
          </cell>
          <cell r="H386">
            <v>43.019999999999996</v>
          </cell>
          <cell r="I386">
            <v>282.02</v>
          </cell>
        </row>
        <row r="387">
          <cell r="B387" t="str">
            <v>Agastya</v>
          </cell>
          <cell r="C387" t="str">
            <v>Dimethoate 30% EC</v>
          </cell>
          <cell r="D387" t="str">
            <v>Aagor</v>
          </cell>
          <cell r="E387" t="str">
            <v>250 ML</v>
          </cell>
          <cell r="F387">
            <v>126</v>
          </cell>
          <cell r="G387">
            <v>18</v>
          </cell>
          <cell r="H387">
            <v>22.68</v>
          </cell>
          <cell r="I387">
            <v>148.68</v>
          </cell>
        </row>
        <row r="388">
          <cell r="B388" t="str">
            <v>Agastya</v>
          </cell>
          <cell r="C388" t="str">
            <v>Pymetrozine 50% WG</v>
          </cell>
          <cell r="D388" t="str">
            <v>Aal Oscar</v>
          </cell>
          <cell r="E388" t="str">
            <v>500 GMS</v>
          </cell>
          <cell r="F388">
            <v>707</v>
          </cell>
          <cell r="G388">
            <v>18</v>
          </cell>
          <cell r="H388">
            <v>127.25999999999999</v>
          </cell>
          <cell r="I388">
            <v>834.26</v>
          </cell>
        </row>
        <row r="389">
          <cell r="B389" t="str">
            <v>Agastya</v>
          </cell>
          <cell r="C389" t="str">
            <v>Pymetrozine 50% WG</v>
          </cell>
          <cell r="D389" t="str">
            <v>Aal Oscar</v>
          </cell>
          <cell r="E389" t="str">
            <v>250 GMS</v>
          </cell>
          <cell r="F389">
            <v>373.5</v>
          </cell>
          <cell r="G389">
            <v>18</v>
          </cell>
          <cell r="H389">
            <v>67.23</v>
          </cell>
          <cell r="I389">
            <v>440.73</v>
          </cell>
        </row>
        <row r="390">
          <cell r="B390" t="str">
            <v>Agastya</v>
          </cell>
          <cell r="C390" t="str">
            <v>Pymetrozine 50% WG</v>
          </cell>
          <cell r="D390" t="str">
            <v>Aal Oscar</v>
          </cell>
          <cell r="E390" t="str">
            <v>120 GMS</v>
          </cell>
          <cell r="F390">
            <v>188.88</v>
          </cell>
          <cell r="G390">
            <v>18</v>
          </cell>
          <cell r="H390">
            <v>33.998399999999997</v>
          </cell>
          <cell r="I390">
            <v>222.8784</v>
          </cell>
        </row>
        <row r="391">
          <cell r="B391" t="str">
            <v>Agastya</v>
          </cell>
          <cell r="C391" t="str">
            <v>Pymetrozine 50% WG</v>
          </cell>
          <cell r="D391" t="str">
            <v>Aal Oscar</v>
          </cell>
          <cell r="E391" t="str">
            <v>1000 GMS</v>
          </cell>
          <cell r="F391">
            <v>1374</v>
          </cell>
          <cell r="G391">
            <v>18</v>
          </cell>
          <cell r="H391">
            <v>247.32</v>
          </cell>
          <cell r="I391">
            <v>1621.32</v>
          </cell>
        </row>
        <row r="392">
          <cell r="B392" t="str">
            <v>Agastya</v>
          </cell>
          <cell r="C392" t="str">
            <v>Tricyclozole 75% WP</v>
          </cell>
          <cell r="D392" t="str">
            <v>Aalblaze</v>
          </cell>
          <cell r="E392" t="str">
            <v>250 GMS</v>
          </cell>
          <cell r="F392">
            <v>306.25</v>
          </cell>
          <cell r="G392">
            <v>18</v>
          </cell>
          <cell r="H392">
            <v>55.125</v>
          </cell>
          <cell r="I392">
            <v>361.375</v>
          </cell>
        </row>
        <row r="393">
          <cell r="B393" t="str">
            <v>Agastya</v>
          </cell>
          <cell r="C393" t="str">
            <v>Tricyclozole 75% WP</v>
          </cell>
          <cell r="D393" t="str">
            <v>Aalblaze</v>
          </cell>
          <cell r="E393" t="str">
            <v>100 GMS</v>
          </cell>
          <cell r="F393">
            <v>120.5</v>
          </cell>
          <cell r="G393">
            <v>18</v>
          </cell>
          <cell r="H393">
            <v>21.689999999999998</v>
          </cell>
          <cell r="I393">
            <v>142.19</v>
          </cell>
        </row>
        <row r="394">
          <cell r="B394" t="str">
            <v>Agastya</v>
          </cell>
          <cell r="C394" t="str">
            <v>Tricyclozole 75% WP</v>
          </cell>
          <cell r="D394" t="str">
            <v>Aalblaze</v>
          </cell>
          <cell r="E394" t="str">
            <v>120 GMS</v>
          </cell>
          <cell r="F394">
            <v>144</v>
          </cell>
          <cell r="G394">
            <v>18</v>
          </cell>
          <cell r="H394">
            <v>25.919999999999998</v>
          </cell>
          <cell r="I394">
            <v>169.92</v>
          </cell>
        </row>
        <row r="395">
          <cell r="B395" t="str">
            <v>Agastya</v>
          </cell>
          <cell r="C395" t="str">
            <v>Tricyclozole 75% WP</v>
          </cell>
          <cell r="D395" t="str">
            <v>Aalblaze</v>
          </cell>
          <cell r="E395" t="str">
            <v>50 GMS</v>
          </cell>
          <cell r="F395">
            <v>62.75</v>
          </cell>
          <cell r="G395">
            <v>18</v>
          </cell>
          <cell r="H395">
            <v>11.295</v>
          </cell>
          <cell r="I395">
            <v>74.045000000000002</v>
          </cell>
        </row>
        <row r="396">
          <cell r="B396" t="str">
            <v>Agastya</v>
          </cell>
          <cell r="C396" t="str">
            <v>Tricyclozole 75% WP</v>
          </cell>
          <cell r="D396" t="str">
            <v>Aalblaze</v>
          </cell>
          <cell r="E396" t="str">
            <v>1000 GMS</v>
          </cell>
          <cell r="F396">
            <v>1175</v>
          </cell>
          <cell r="G396">
            <v>18</v>
          </cell>
          <cell r="H396">
            <v>211.5</v>
          </cell>
          <cell r="I396">
            <v>1386.5</v>
          </cell>
        </row>
        <row r="397">
          <cell r="B397" t="str">
            <v>Agastya</v>
          </cell>
          <cell r="C397" t="str">
            <v>Propineb 70% WP</v>
          </cell>
          <cell r="D397" t="str">
            <v>Aalcol</v>
          </cell>
          <cell r="E397" t="str">
            <v>1000 GMS</v>
          </cell>
          <cell r="F397">
            <v>533</v>
          </cell>
          <cell r="G397">
            <v>18</v>
          </cell>
          <cell r="H397">
            <v>95.94</v>
          </cell>
          <cell r="I397">
            <v>628.94000000000005</v>
          </cell>
        </row>
        <row r="398">
          <cell r="B398" t="str">
            <v>Agastya</v>
          </cell>
          <cell r="C398" t="str">
            <v>Propineb 70% WP</v>
          </cell>
          <cell r="D398" t="str">
            <v>Aalcol</v>
          </cell>
          <cell r="E398" t="str">
            <v>500 GMS</v>
          </cell>
          <cell r="F398">
            <v>272</v>
          </cell>
          <cell r="G398">
            <v>18</v>
          </cell>
          <cell r="H398">
            <v>48.96</v>
          </cell>
          <cell r="I398">
            <v>320.95999999999998</v>
          </cell>
        </row>
        <row r="399">
          <cell r="B399" t="str">
            <v>Agastya</v>
          </cell>
          <cell r="C399" t="str">
            <v>Propineb 70% WP</v>
          </cell>
          <cell r="D399" t="str">
            <v>Aalcol</v>
          </cell>
          <cell r="E399" t="str">
            <v>250 GMS</v>
          </cell>
          <cell r="F399">
            <v>141</v>
          </cell>
          <cell r="G399">
            <v>18</v>
          </cell>
          <cell r="H399">
            <v>25.38</v>
          </cell>
          <cell r="I399">
            <v>166.38</v>
          </cell>
        </row>
        <row r="400">
          <cell r="B400" t="str">
            <v>Agastya</v>
          </cell>
          <cell r="C400" t="str">
            <v>Propineb 70% WP</v>
          </cell>
          <cell r="D400" t="str">
            <v>Aalcol</v>
          </cell>
          <cell r="E400" t="str">
            <v>100 GMS</v>
          </cell>
          <cell r="F400">
            <v>58.3</v>
          </cell>
          <cell r="G400">
            <v>18</v>
          </cell>
          <cell r="H400">
            <v>10.494</v>
          </cell>
          <cell r="I400">
            <v>68.793999999999997</v>
          </cell>
        </row>
        <row r="401">
          <cell r="B401" t="str">
            <v>Agastya</v>
          </cell>
          <cell r="C401" t="str">
            <v>Copper Oxychloride 50% WP</v>
          </cell>
          <cell r="D401" t="str">
            <v>Aalcop</v>
          </cell>
          <cell r="E401" t="str">
            <v>1000 GMS</v>
          </cell>
          <cell r="F401">
            <v>790</v>
          </cell>
          <cell r="G401">
            <v>18</v>
          </cell>
          <cell r="H401">
            <v>142.19999999999999</v>
          </cell>
          <cell r="I401">
            <v>932.2</v>
          </cell>
        </row>
        <row r="402">
          <cell r="B402" t="str">
            <v>Agastya</v>
          </cell>
          <cell r="C402" t="str">
            <v>Copper Oxychloride 50% WP</v>
          </cell>
          <cell r="D402" t="str">
            <v>Aalcop</v>
          </cell>
          <cell r="E402" t="str">
            <v>500 GMS</v>
          </cell>
          <cell r="F402">
            <v>400</v>
          </cell>
          <cell r="G402">
            <v>18</v>
          </cell>
          <cell r="H402">
            <v>72</v>
          </cell>
          <cell r="I402">
            <v>472</v>
          </cell>
        </row>
        <row r="403">
          <cell r="B403" t="str">
            <v>Agastya</v>
          </cell>
          <cell r="C403" t="str">
            <v>Copper Oxychloride 50% WP</v>
          </cell>
          <cell r="D403" t="str">
            <v>Aalcop</v>
          </cell>
          <cell r="E403" t="str">
            <v>100 GMS</v>
          </cell>
          <cell r="F403">
            <v>84</v>
          </cell>
          <cell r="G403">
            <v>18</v>
          </cell>
          <cell r="H403">
            <v>15.12</v>
          </cell>
          <cell r="I403">
            <v>99.12</v>
          </cell>
        </row>
        <row r="404">
          <cell r="B404" t="str">
            <v>Agastya</v>
          </cell>
          <cell r="C404" t="str">
            <v>Monocrotophos 36% SL</v>
          </cell>
          <cell r="D404" t="str">
            <v>Aalphos</v>
          </cell>
          <cell r="E404" t="str">
            <v>20000 ML</v>
          </cell>
          <cell r="F404">
            <v>10140</v>
          </cell>
          <cell r="G404">
            <v>18</v>
          </cell>
          <cell r="H404">
            <v>1825.2</v>
          </cell>
          <cell r="I404">
            <v>11965.2</v>
          </cell>
        </row>
        <row r="405">
          <cell r="B405" t="str">
            <v>Agastya</v>
          </cell>
          <cell r="C405" t="str">
            <v>Monocrotophos 36% SL</v>
          </cell>
          <cell r="D405" t="str">
            <v>Aalphos</v>
          </cell>
          <cell r="E405" t="str">
            <v>1000 ML</v>
          </cell>
          <cell r="F405">
            <v>519</v>
          </cell>
          <cell r="G405">
            <v>18</v>
          </cell>
          <cell r="H405">
            <v>93.42</v>
          </cell>
          <cell r="I405">
            <v>612.41999999999996</v>
          </cell>
        </row>
        <row r="406">
          <cell r="B406" t="str">
            <v>Agastya</v>
          </cell>
          <cell r="C406" t="str">
            <v>Monocrotophos 36% SL</v>
          </cell>
          <cell r="D406" t="str">
            <v>Aalphos</v>
          </cell>
          <cell r="E406" t="str">
            <v>5000 ML</v>
          </cell>
          <cell r="F406">
            <v>2570</v>
          </cell>
          <cell r="G406">
            <v>18</v>
          </cell>
          <cell r="H406">
            <v>462.59999999999997</v>
          </cell>
          <cell r="I406">
            <v>3032.6</v>
          </cell>
        </row>
        <row r="407">
          <cell r="B407" t="str">
            <v>Agastya</v>
          </cell>
          <cell r="C407" t="str">
            <v>Monocrotophos 36% SL</v>
          </cell>
          <cell r="D407" t="str">
            <v>Aalphos</v>
          </cell>
          <cell r="E407" t="str">
            <v>500 ML</v>
          </cell>
          <cell r="F407">
            <v>270</v>
          </cell>
          <cell r="G407">
            <v>18</v>
          </cell>
          <cell r="H407">
            <v>48.6</v>
          </cell>
          <cell r="I407">
            <v>318.60000000000002</v>
          </cell>
        </row>
        <row r="408">
          <cell r="B408" t="str">
            <v>Agastya</v>
          </cell>
          <cell r="C408" t="str">
            <v>Monocrotophos 36% SL</v>
          </cell>
          <cell r="D408" t="str">
            <v>Aalphos</v>
          </cell>
          <cell r="E408" t="str">
            <v>250 ML</v>
          </cell>
          <cell r="F408">
            <v>140</v>
          </cell>
          <cell r="G408">
            <v>18</v>
          </cell>
          <cell r="H408">
            <v>25.2</v>
          </cell>
          <cell r="I408">
            <v>165.2</v>
          </cell>
        </row>
        <row r="409">
          <cell r="B409" t="str">
            <v>Agastya</v>
          </cell>
          <cell r="C409" t="str">
            <v>Monocrotophos 36% SL</v>
          </cell>
          <cell r="D409" t="str">
            <v>Aalphos</v>
          </cell>
          <cell r="E409" t="str">
            <v>100 ML</v>
          </cell>
          <cell r="F409">
            <v>59.4</v>
          </cell>
          <cell r="G409">
            <v>18</v>
          </cell>
          <cell r="H409">
            <v>10.692</v>
          </cell>
          <cell r="I409">
            <v>70.091999999999999</v>
          </cell>
        </row>
        <row r="410">
          <cell r="B410" t="str">
            <v>Agastya</v>
          </cell>
          <cell r="C410" t="str">
            <v>Pretilachlor 50% EC</v>
          </cell>
          <cell r="D410" t="str">
            <v>Aalprit</v>
          </cell>
          <cell r="E410" t="str">
            <v>1000 ML</v>
          </cell>
          <cell r="F410">
            <v>433</v>
          </cell>
          <cell r="G410">
            <v>18</v>
          </cell>
          <cell r="H410">
            <v>77.94</v>
          </cell>
          <cell r="I410">
            <v>510.94</v>
          </cell>
        </row>
        <row r="411">
          <cell r="B411" t="str">
            <v>Agastya</v>
          </cell>
          <cell r="C411" t="str">
            <v>Pretilachlor 50% EC</v>
          </cell>
          <cell r="D411" t="str">
            <v>Aalprit</v>
          </cell>
          <cell r="E411" t="str">
            <v>5000 ML</v>
          </cell>
          <cell r="F411">
            <v>2140</v>
          </cell>
          <cell r="G411">
            <v>18</v>
          </cell>
          <cell r="H411">
            <v>385.2</v>
          </cell>
          <cell r="I411">
            <v>2525.1999999999998</v>
          </cell>
        </row>
        <row r="412">
          <cell r="B412" t="str">
            <v>Agastya</v>
          </cell>
          <cell r="C412" t="str">
            <v>Pretilachlor 50% EC</v>
          </cell>
          <cell r="D412" t="str">
            <v>Aalprit</v>
          </cell>
          <cell r="E412" t="str">
            <v>500 ML</v>
          </cell>
          <cell r="F412">
            <v>222.5</v>
          </cell>
          <cell r="G412">
            <v>18</v>
          </cell>
          <cell r="H412">
            <v>40.049999999999997</v>
          </cell>
          <cell r="I412">
            <v>262.55</v>
          </cell>
        </row>
        <row r="413">
          <cell r="B413" t="str">
            <v>Agastya</v>
          </cell>
          <cell r="C413" t="str">
            <v>Pretilachlor 50% EC</v>
          </cell>
          <cell r="D413" t="str">
            <v>Aalprit</v>
          </cell>
          <cell r="E413" t="str">
            <v>250 ML</v>
          </cell>
          <cell r="F413">
            <v>117.25</v>
          </cell>
          <cell r="G413">
            <v>18</v>
          </cell>
          <cell r="H413">
            <v>21.105</v>
          </cell>
          <cell r="I413">
            <v>138.35499999999999</v>
          </cell>
        </row>
        <row r="414">
          <cell r="B414" t="str">
            <v>Agastya</v>
          </cell>
          <cell r="C414" t="str">
            <v xml:space="preserve">Quinalphos 25% EC </v>
          </cell>
          <cell r="D414" t="str">
            <v>Aalquin</v>
          </cell>
          <cell r="E414" t="str">
            <v>100 ML</v>
          </cell>
          <cell r="F414">
            <v>50</v>
          </cell>
          <cell r="G414">
            <v>18</v>
          </cell>
          <cell r="H414">
            <v>9</v>
          </cell>
          <cell r="I414">
            <v>59</v>
          </cell>
        </row>
        <row r="415">
          <cell r="B415" t="str">
            <v>Agastya</v>
          </cell>
          <cell r="C415" t="str">
            <v xml:space="preserve">Quinalphos 25% EC </v>
          </cell>
          <cell r="D415" t="str">
            <v>Aalquin</v>
          </cell>
          <cell r="E415" t="str">
            <v>1000 ML</v>
          </cell>
          <cell r="F415">
            <v>428</v>
          </cell>
          <cell r="G415">
            <v>18</v>
          </cell>
          <cell r="H415">
            <v>77.039999999999992</v>
          </cell>
          <cell r="I415">
            <v>505.03999999999996</v>
          </cell>
        </row>
        <row r="416">
          <cell r="B416" t="str">
            <v>Agastya</v>
          </cell>
          <cell r="C416" t="str">
            <v xml:space="preserve">Quinalphos 25% EC </v>
          </cell>
          <cell r="D416" t="str">
            <v>Aalquin</v>
          </cell>
          <cell r="E416" t="str">
            <v>500 ML</v>
          </cell>
          <cell r="F416">
            <v>221</v>
          </cell>
          <cell r="G416">
            <v>18</v>
          </cell>
          <cell r="H416">
            <v>39.78</v>
          </cell>
          <cell r="I416">
            <v>260.77999999999997</v>
          </cell>
        </row>
        <row r="417">
          <cell r="B417" t="str">
            <v>Agastya</v>
          </cell>
          <cell r="C417" t="str">
            <v xml:space="preserve">Quinalphos 25% EC </v>
          </cell>
          <cell r="D417" t="str">
            <v>Aalquin</v>
          </cell>
          <cell r="E417" t="str">
            <v>250 ML</v>
          </cell>
          <cell r="F417">
            <v>117</v>
          </cell>
          <cell r="G417">
            <v>18</v>
          </cell>
          <cell r="H417">
            <v>21.06</v>
          </cell>
          <cell r="I417">
            <v>138.06</v>
          </cell>
        </row>
        <row r="418">
          <cell r="B418" t="str">
            <v>Agastya</v>
          </cell>
          <cell r="C418" t="str">
            <v xml:space="preserve">Quinalphos 25% EC </v>
          </cell>
          <cell r="D418" t="str">
            <v>Aalquin</v>
          </cell>
          <cell r="E418" t="str">
            <v>20000 ML</v>
          </cell>
          <cell r="F418">
            <v>8760</v>
          </cell>
          <cell r="G418">
            <v>18</v>
          </cell>
          <cell r="H418">
            <v>1576.8</v>
          </cell>
          <cell r="I418">
            <v>10336.799999999999</v>
          </cell>
        </row>
        <row r="419">
          <cell r="B419" t="str">
            <v>Agastya</v>
          </cell>
          <cell r="C419" t="str">
            <v xml:space="preserve">Quinalphos 25% EC </v>
          </cell>
          <cell r="D419" t="str">
            <v>Aalquin</v>
          </cell>
          <cell r="E419" t="str">
            <v>5000 ML</v>
          </cell>
          <cell r="F419">
            <v>2165</v>
          </cell>
          <cell r="G419">
            <v>18</v>
          </cell>
          <cell r="H419">
            <v>389.7</v>
          </cell>
          <cell r="I419">
            <v>2554.6999999999998</v>
          </cell>
        </row>
        <row r="420">
          <cell r="B420" t="str">
            <v>Agastya</v>
          </cell>
          <cell r="C420" t="str">
            <v>Paraquat Dichloride 24% SL</v>
          </cell>
          <cell r="D420" t="str">
            <v>Aalquit</v>
          </cell>
          <cell r="E420" t="str">
            <v>20000 ML</v>
          </cell>
          <cell r="F420">
            <v>4400</v>
          </cell>
          <cell r="G420">
            <v>18</v>
          </cell>
          <cell r="H420">
            <v>792</v>
          </cell>
          <cell r="I420">
            <v>5192</v>
          </cell>
        </row>
        <row r="421">
          <cell r="B421" t="str">
            <v>Agastya</v>
          </cell>
          <cell r="C421" t="str">
            <v>Paraquat Dichloride 24% SL</v>
          </cell>
          <cell r="D421" t="str">
            <v>Aalquit</v>
          </cell>
          <cell r="E421" t="str">
            <v>1000 ML</v>
          </cell>
          <cell r="F421">
            <v>232</v>
          </cell>
          <cell r="G421">
            <v>18</v>
          </cell>
          <cell r="H421">
            <v>41.76</v>
          </cell>
          <cell r="I421">
            <v>273.76</v>
          </cell>
        </row>
        <row r="422">
          <cell r="B422" t="str">
            <v>Agastya</v>
          </cell>
          <cell r="C422" t="str">
            <v>Paraquat Dichloride 24% SL</v>
          </cell>
          <cell r="D422" t="str">
            <v>Aalquit</v>
          </cell>
          <cell r="E422" t="str">
            <v>5000 ML</v>
          </cell>
          <cell r="F422">
            <v>1135</v>
          </cell>
          <cell r="G422">
            <v>18</v>
          </cell>
          <cell r="H422">
            <v>204.29999999999998</v>
          </cell>
          <cell r="I422">
            <v>1339.3</v>
          </cell>
        </row>
        <row r="423">
          <cell r="B423" t="str">
            <v>Agastya</v>
          </cell>
          <cell r="C423" t="str">
            <v>Paraquat Dichloride 24% SL</v>
          </cell>
          <cell r="D423" t="str">
            <v>Aalquit</v>
          </cell>
          <cell r="E423" t="str">
            <v>500 ML</v>
          </cell>
          <cell r="F423">
            <v>126</v>
          </cell>
          <cell r="G423">
            <v>18</v>
          </cell>
          <cell r="H423">
            <v>22.68</v>
          </cell>
          <cell r="I423">
            <v>148.68</v>
          </cell>
        </row>
        <row r="424">
          <cell r="B424" t="str">
            <v>Agastya</v>
          </cell>
          <cell r="C424" t="str">
            <v>Paraquat Dichloride 24% SL</v>
          </cell>
          <cell r="D424" t="str">
            <v>Aalquit</v>
          </cell>
          <cell r="E424" t="str">
            <v>250 ML</v>
          </cell>
          <cell r="F424">
            <v>68</v>
          </cell>
          <cell r="G424">
            <v>18</v>
          </cell>
          <cell r="H424">
            <v>12.24</v>
          </cell>
          <cell r="I424">
            <v>80.239999999999995</v>
          </cell>
        </row>
        <row r="425">
          <cell r="B425" t="str">
            <v>Agastya</v>
          </cell>
          <cell r="C425" t="str">
            <v>Carbendazim 12% + Mancozeb 63% WP</v>
          </cell>
          <cell r="D425" t="str">
            <v>Aalsafe</v>
          </cell>
          <cell r="E425" t="str">
            <v>1000 GMS</v>
          </cell>
          <cell r="F425">
            <v>453</v>
          </cell>
          <cell r="G425">
            <v>18</v>
          </cell>
          <cell r="H425">
            <v>81.539999999999992</v>
          </cell>
          <cell r="I425">
            <v>534.54</v>
          </cell>
        </row>
        <row r="426">
          <cell r="B426" t="str">
            <v>Agastya</v>
          </cell>
          <cell r="C426" t="str">
            <v>Carbendazim 12% + Mancozeb 63% WP</v>
          </cell>
          <cell r="D426" t="str">
            <v>Aalsafe</v>
          </cell>
          <cell r="E426" t="str">
            <v>500 GMS</v>
          </cell>
          <cell r="F426">
            <v>232</v>
          </cell>
          <cell r="G426">
            <v>18</v>
          </cell>
          <cell r="H426">
            <v>41.76</v>
          </cell>
          <cell r="I426">
            <v>273.76</v>
          </cell>
        </row>
        <row r="427">
          <cell r="B427" t="str">
            <v>Agastya</v>
          </cell>
          <cell r="C427" t="str">
            <v>Carbendazim 12% + Mancozeb 63% WP</v>
          </cell>
          <cell r="D427" t="str">
            <v>Aalsafe</v>
          </cell>
          <cell r="E427" t="str">
            <v>250 GMS</v>
          </cell>
          <cell r="F427">
            <v>121</v>
          </cell>
          <cell r="G427">
            <v>18</v>
          </cell>
          <cell r="H427">
            <v>21.779999999999998</v>
          </cell>
          <cell r="I427">
            <v>142.78</v>
          </cell>
        </row>
        <row r="428">
          <cell r="B428" t="str">
            <v>Agastya</v>
          </cell>
          <cell r="C428" t="str">
            <v>Carbendazim 12% + Mancozeb 63% WP</v>
          </cell>
          <cell r="D428" t="str">
            <v>Aalsafe</v>
          </cell>
          <cell r="E428" t="str">
            <v>100 GMS</v>
          </cell>
          <cell r="F428">
            <v>49.3</v>
          </cell>
          <cell r="G428">
            <v>18</v>
          </cell>
          <cell r="H428">
            <v>8.8739999999999988</v>
          </cell>
          <cell r="I428">
            <v>58.173999999999992</v>
          </cell>
        </row>
        <row r="429">
          <cell r="B429" t="str">
            <v>Agastya</v>
          </cell>
          <cell r="C429" t="str">
            <v>Glyphosate 41% SL</v>
          </cell>
          <cell r="D429" t="str">
            <v>Aalsate</v>
          </cell>
          <cell r="E429" t="str">
            <v>20000 ML</v>
          </cell>
          <cell r="F429">
            <v>5840</v>
          </cell>
          <cell r="G429">
            <v>18</v>
          </cell>
          <cell r="H429">
            <v>1051.2</v>
          </cell>
          <cell r="I429">
            <v>6891.2</v>
          </cell>
        </row>
        <row r="430">
          <cell r="B430" t="str">
            <v>Agastya</v>
          </cell>
          <cell r="C430" t="str">
            <v>Glyphosate 41% SL</v>
          </cell>
          <cell r="D430" t="str">
            <v>Aalsate</v>
          </cell>
          <cell r="E430" t="str">
            <v>1000 ML</v>
          </cell>
          <cell r="F430">
            <v>304</v>
          </cell>
          <cell r="G430">
            <v>18</v>
          </cell>
          <cell r="H430">
            <v>54.72</v>
          </cell>
          <cell r="I430">
            <v>358.72</v>
          </cell>
        </row>
        <row r="431">
          <cell r="B431" t="str">
            <v>Agastya</v>
          </cell>
          <cell r="C431" t="str">
            <v>Glyphosate 41% SL</v>
          </cell>
          <cell r="D431" t="str">
            <v>Aalsate</v>
          </cell>
          <cell r="E431" t="str">
            <v>5000 ML</v>
          </cell>
          <cell r="F431">
            <v>1495</v>
          </cell>
          <cell r="G431">
            <v>18</v>
          </cell>
          <cell r="H431">
            <v>269.09999999999997</v>
          </cell>
          <cell r="I431">
            <v>1764.1</v>
          </cell>
        </row>
        <row r="432">
          <cell r="B432" t="str">
            <v>Agastya</v>
          </cell>
          <cell r="C432" t="str">
            <v>Glyphosate 41% SL</v>
          </cell>
          <cell r="D432" t="str">
            <v>Aalsate</v>
          </cell>
          <cell r="E432" t="str">
            <v>500 ML</v>
          </cell>
          <cell r="F432">
            <v>159.5</v>
          </cell>
          <cell r="G432">
            <v>18</v>
          </cell>
          <cell r="H432">
            <v>28.709999999999997</v>
          </cell>
          <cell r="I432">
            <v>188.21</v>
          </cell>
        </row>
        <row r="433">
          <cell r="B433" t="str">
            <v>Agastya</v>
          </cell>
          <cell r="C433" t="str">
            <v>Glyphosate 41% SL</v>
          </cell>
          <cell r="D433" t="str">
            <v>Aalsate</v>
          </cell>
          <cell r="E433" t="str">
            <v>250 ML</v>
          </cell>
          <cell r="F433">
            <v>83.5</v>
          </cell>
          <cell r="G433">
            <v>18</v>
          </cell>
          <cell r="H433">
            <v>15.03</v>
          </cell>
          <cell r="I433">
            <v>98.53</v>
          </cell>
        </row>
        <row r="434">
          <cell r="B434" t="str">
            <v>Agastya</v>
          </cell>
          <cell r="C434" t="str">
            <v>Alphamethrin 10% EC</v>
          </cell>
          <cell r="D434" t="str">
            <v>Aalthrin</v>
          </cell>
          <cell r="E434" t="str">
            <v>5000 ML</v>
          </cell>
          <cell r="F434">
            <v>1660</v>
          </cell>
          <cell r="G434">
            <v>18</v>
          </cell>
          <cell r="H434">
            <v>298.8</v>
          </cell>
          <cell r="I434">
            <v>1958.8</v>
          </cell>
        </row>
        <row r="435">
          <cell r="B435" t="str">
            <v>Agastya</v>
          </cell>
          <cell r="C435" t="str">
            <v>Alphamethrin 10% EC</v>
          </cell>
          <cell r="D435" t="str">
            <v>Aalthrin</v>
          </cell>
          <cell r="E435" t="str">
            <v>500 ML</v>
          </cell>
          <cell r="F435">
            <v>179</v>
          </cell>
          <cell r="G435">
            <v>18</v>
          </cell>
          <cell r="H435">
            <v>32.22</v>
          </cell>
          <cell r="I435">
            <v>211.22</v>
          </cell>
        </row>
        <row r="436">
          <cell r="B436" t="str">
            <v>Agastya</v>
          </cell>
          <cell r="C436" t="str">
            <v>Alphamethrin 10% EC</v>
          </cell>
          <cell r="D436" t="str">
            <v>Aalthrin</v>
          </cell>
          <cell r="E436" t="str">
            <v>250 ML</v>
          </cell>
          <cell r="F436">
            <v>94.25</v>
          </cell>
          <cell r="G436">
            <v>18</v>
          </cell>
          <cell r="H436">
            <v>16.965</v>
          </cell>
          <cell r="I436">
            <v>111.215</v>
          </cell>
        </row>
        <row r="437">
          <cell r="B437" t="str">
            <v>Agastya</v>
          </cell>
          <cell r="C437" t="str">
            <v>Alphamethrin 10% EC</v>
          </cell>
          <cell r="D437" t="str">
            <v>Aalthrin</v>
          </cell>
          <cell r="E437" t="str">
            <v>1000 ML</v>
          </cell>
          <cell r="F437">
            <v>322</v>
          </cell>
          <cell r="G437">
            <v>18</v>
          </cell>
          <cell r="H437">
            <v>57.96</v>
          </cell>
          <cell r="I437">
            <v>379.96</v>
          </cell>
        </row>
        <row r="438">
          <cell r="B438" t="str">
            <v>Agastya</v>
          </cell>
          <cell r="C438" t="str">
            <v>Alphamethrin 10% EC</v>
          </cell>
          <cell r="D438" t="str">
            <v>Aalthrin</v>
          </cell>
          <cell r="E438" t="str">
            <v>100 ML</v>
          </cell>
          <cell r="F438">
            <v>41</v>
          </cell>
          <cell r="G438">
            <v>18</v>
          </cell>
          <cell r="H438">
            <v>7.38</v>
          </cell>
          <cell r="I438">
            <v>48.38</v>
          </cell>
        </row>
        <row r="439">
          <cell r="B439" t="str">
            <v>Agastya</v>
          </cell>
          <cell r="C439" t="str">
            <v>Cartap Hydrochloride 4% GR</v>
          </cell>
          <cell r="D439" t="str">
            <v>Aaltrap-4G</v>
          </cell>
          <cell r="E439" t="str">
            <v>25000 GMS</v>
          </cell>
          <cell r="F439">
            <v>2375</v>
          </cell>
          <cell r="G439">
            <v>18</v>
          </cell>
          <cell r="H439">
            <v>427.5</v>
          </cell>
          <cell r="I439">
            <v>2802.5</v>
          </cell>
        </row>
        <row r="440">
          <cell r="B440" t="str">
            <v>Agastya</v>
          </cell>
          <cell r="C440" t="str">
            <v>Cartap Hydrochloride 4% GR</v>
          </cell>
          <cell r="D440" t="str">
            <v>Aaltrap-4G</v>
          </cell>
          <cell r="E440" t="str">
            <v>1000 GMS</v>
          </cell>
          <cell r="F440">
            <v>100</v>
          </cell>
          <cell r="G440">
            <v>18</v>
          </cell>
          <cell r="H440">
            <v>18</v>
          </cell>
          <cell r="I440">
            <v>118</v>
          </cell>
        </row>
        <row r="441">
          <cell r="B441" t="str">
            <v>Agastya</v>
          </cell>
          <cell r="C441" t="str">
            <v>Cartap Hydrochloride 4% GR</v>
          </cell>
          <cell r="D441" t="str">
            <v>Aaltrap-4G</v>
          </cell>
          <cell r="E441" t="str">
            <v>5000 GMS</v>
          </cell>
          <cell r="F441">
            <v>474</v>
          </cell>
          <cell r="G441">
            <v>18</v>
          </cell>
          <cell r="H441">
            <v>85.32</v>
          </cell>
          <cell r="I441">
            <v>559.31999999999994</v>
          </cell>
        </row>
        <row r="442">
          <cell r="B442" t="str">
            <v>Agastya</v>
          </cell>
          <cell r="C442" t="str">
            <v>Cartap Hydrochloride 4% GR</v>
          </cell>
          <cell r="D442" t="str">
            <v>Aaltrap-4G</v>
          </cell>
          <cell r="E442" t="str">
            <v>50000 GMS</v>
          </cell>
          <cell r="F442">
            <v>5500</v>
          </cell>
          <cell r="G442">
            <v>18</v>
          </cell>
          <cell r="H442">
            <v>990</v>
          </cell>
          <cell r="I442">
            <v>6490</v>
          </cell>
        </row>
        <row r="443">
          <cell r="B443" t="str">
            <v>Agastya</v>
          </cell>
          <cell r="C443" t="str">
            <v>Fenubucarb 50% EC</v>
          </cell>
          <cell r="D443" t="str">
            <v>Aaltravin</v>
          </cell>
          <cell r="E443" t="str">
            <v>1000 ML</v>
          </cell>
          <cell r="F443">
            <v>479</v>
          </cell>
          <cell r="G443">
            <v>18</v>
          </cell>
          <cell r="H443">
            <v>86.22</v>
          </cell>
          <cell r="I443">
            <v>565.22</v>
          </cell>
        </row>
        <row r="444">
          <cell r="B444" t="str">
            <v>Agastya</v>
          </cell>
          <cell r="C444" t="str">
            <v>Fenubucarb 50% EC</v>
          </cell>
          <cell r="D444" t="str">
            <v>Aaltravin</v>
          </cell>
          <cell r="E444" t="str">
            <v>5000 ML</v>
          </cell>
          <cell r="F444">
            <v>2370</v>
          </cell>
          <cell r="G444">
            <v>18</v>
          </cell>
          <cell r="H444">
            <v>426.59999999999997</v>
          </cell>
          <cell r="I444">
            <v>2796.6</v>
          </cell>
        </row>
        <row r="445">
          <cell r="B445" t="str">
            <v>Agastya</v>
          </cell>
          <cell r="C445" t="str">
            <v>Fenubucarb 50% EC</v>
          </cell>
          <cell r="D445" t="str">
            <v>Aaltravin</v>
          </cell>
          <cell r="E445" t="str">
            <v>500 ML</v>
          </cell>
          <cell r="F445">
            <v>246</v>
          </cell>
          <cell r="G445">
            <v>18</v>
          </cell>
          <cell r="H445">
            <v>44.28</v>
          </cell>
          <cell r="I445">
            <v>290.27999999999997</v>
          </cell>
        </row>
        <row r="446">
          <cell r="B446" t="str">
            <v>Agastya</v>
          </cell>
          <cell r="C446" t="str">
            <v>Fenubucarb 50% EC</v>
          </cell>
          <cell r="D446" t="str">
            <v>Aaltravin</v>
          </cell>
          <cell r="E446" t="str">
            <v>250 ML</v>
          </cell>
          <cell r="F446">
            <v>129</v>
          </cell>
          <cell r="G446">
            <v>18</v>
          </cell>
          <cell r="H446">
            <v>23.22</v>
          </cell>
          <cell r="I446">
            <v>152.22</v>
          </cell>
        </row>
        <row r="447">
          <cell r="B447" t="str">
            <v>Agastya</v>
          </cell>
          <cell r="C447" t="str">
            <v>Atrazine 50% WP</v>
          </cell>
          <cell r="D447" t="str">
            <v>Aaltrazine</v>
          </cell>
          <cell r="E447" t="str">
            <v>1000 GMS</v>
          </cell>
          <cell r="F447">
            <v>309</v>
          </cell>
          <cell r="G447">
            <v>18</v>
          </cell>
          <cell r="H447">
            <v>55.62</v>
          </cell>
          <cell r="I447">
            <v>364.62</v>
          </cell>
        </row>
        <row r="448">
          <cell r="B448" t="str">
            <v>Agastya</v>
          </cell>
          <cell r="C448" t="str">
            <v>Atrazine 50% WP</v>
          </cell>
          <cell r="D448" t="str">
            <v>Aaltrazine</v>
          </cell>
          <cell r="E448" t="str">
            <v>500 GMS</v>
          </cell>
          <cell r="F448">
            <v>160</v>
          </cell>
          <cell r="G448">
            <v>18</v>
          </cell>
          <cell r="H448">
            <v>28.799999999999997</v>
          </cell>
          <cell r="I448">
            <v>188.8</v>
          </cell>
        </row>
        <row r="449">
          <cell r="B449" t="str">
            <v>Agastya</v>
          </cell>
          <cell r="C449" t="str">
            <v>Atrazine 50% WP</v>
          </cell>
          <cell r="D449" t="str">
            <v>Aaltrazine (Lloyd)</v>
          </cell>
          <cell r="E449" t="str">
            <v>250 GMS</v>
          </cell>
          <cell r="F449">
            <v>90</v>
          </cell>
          <cell r="G449">
            <v>18</v>
          </cell>
          <cell r="H449">
            <v>16.2</v>
          </cell>
          <cell r="I449">
            <v>106.2</v>
          </cell>
        </row>
        <row r="450">
          <cell r="B450" t="str">
            <v>Agastya</v>
          </cell>
          <cell r="C450" t="str">
            <v>Mancozeb 75% WP</v>
          </cell>
          <cell r="D450" t="str">
            <v>Agastya M-45</v>
          </cell>
          <cell r="E450" t="str">
            <v>1000 GMS</v>
          </cell>
          <cell r="F450">
            <v>396</v>
          </cell>
          <cell r="G450">
            <v>18</v>
          </cell>
          <cell r="H450">
            <v>71.28</v>
          </cell>
          <cell r="I450">
            <v>467.28</v>
          </cell>
        </row>
        <row r="451">
          <cell r="B451" t="str">
            <v>Agastya</v>
          </cell>
          <cell r="C451" t="str">
            <v>Mancozeb 75% WP</v>
          </cell>
          <cell r="D451" t="str">
            <v>Agastya M-45</v>
          </cell>
          <cell r="E451" t="str">
            <v>500 GMS</v>
          </cell>
          <cell r="F451">
            <v>203</v>
          </cell>
          <cell r="G451">
            <v>18</v>
          </cell>
          <cell r="H451">
            <v>36.54</v>
          </cell>
          <cell r="I451">
            <v>239.54</v>
          </cell>
        </row>
        <row r="452">
          <cell r="B452" t="str">
            <v>Agastya</v>
          </cell>
          <cell r="C452" t="str">
            <v>Mancozeb 75% WP</v>
          </cell>
          <cell r="D452" t="str">
            <v>Agastya M-45</v>
          </cell>
          <cell r="E452" t="str">
            <v>250 GMS</v>
          </cell>
          <cell r="F452">
            <v>107</v>
          </cell>
          <cell r="G452">
            <v>18</v>
          </cell>
          <cell r="H452">
            <v>19.259999999999998</v>
          </cell>
          <cell r="I452">
            <v>126.25999999999999</v>
          </cell>
        </row>
        <row r="453">
          <cell r="B453" t="str">
            <v>Agastya</v>
          </cell>
          <cell r="C453" t="str">
            <v>Mancozeb 75% WP</v>
          </cell>
          <cell r="D453" t="str">
            <v>Agastya M-45</v>
          </cell>
          <cell r="E453" t="str">
            <v>100 GMS</v>
          </cell>
          <cell r="F453">
            <v>45</v>
          </cell>
          <cell r="G453">
            <v>18</v>
          </cell>
          <cell r="H453">
            <v>8.1</v>
          </cell>
          <cell r="I453">
            <v>53.1</v>
          </cell>
        </row>
        <row r="454">
          <cell r="B454" t="str">
            <v>Agastya</v>
          </cell>
          <cell r="C454" t="str">
            <v>Magnesium 9.5%</v>
          </cell>
          <cell r="D454" t="str">
            <v>Agastya Magnesium Sulphate</v>
          </cell>
          <cell r="E454" t="str">
            <v>1000 GMS</v>
          </cell>
          <cell r="F454">
            <v>64</v>
          </cell>
          <cell r="G454">
            <v>18</v>
          </cell>
          <cell r="H454">
            <v>11.52</v>
          </cell>
          <cell r="I454">
            <v>75.52</v>
          </cell>
        </row>
        <row r="455">
          <cell r="B455" t="str">
            <v>Agastya</v>
          </cell>
          <cell r="C455" t="str">
            <v>Carbofuran 3% CG</v>
          </cell>
          <cell r="D455" t="str">
            <v>Allfuran</v>
          </cell>
          <cell r="E455" t="str">
            <v>1000 GMS</v>
          </cell>
          <cell r="F455">
            <v>84</v>
          </cell>
          <cell r="G455">
            <v>18</v>
          </cell>
          <cell r="H455">
            <v>15.12</v>
          </cell>
          <cell r="I455">
            <v>99.12</v>
          </cell>
        </row>
        <row r="456">
          <cell r="B456" t="str">
            <v>Agastya</v>
          </cell>
          <cell r="C456" t="str">
            <v>Carbofuran 3% CG</v>
          </cell>
          <cell r="D456" t="str">
            <v>Allfuran</v>
          </cell>
          <cell r="E456" t="str">
            <v>5000 GMS</v>
          </cell>
          <cell r="F456">
            <v>410</v>
          </cell>
          <cell r="G456">
            <v>18</v>
          </cell>
          <cell r="H456">
            <v>73.8</v>
          </cell>
          <cell r="I456">
            <v>483.8</v>
          </cell>
        </row>
        <row r="457">
          <cell r="B457" t="str">
            <v>Agastya</v>
          </cell>
          <cell r="C457" t="str">
            <v>Chlorpyrifos 20% EC</v>
          </cell>
          <cell r="D457" t="str">
            <v>Altima</v>
          </cell>
          <cell r="E457" t="str">
            <v>100 ML</v>
          </cell>
          <cell r="F457">
            <v>33.1</v>
          </cell>
          <cell r="G457">
            <v>18</v>
          </cell>
          <cell r="H457">
            <v>5.9580000000000002</v>
          </cell>
          <cell r="I457">
            <v>39.058</v>
          </cell>
        </row>
        <row r="458">
          <cell r="B458" t="str">
            <v>Agastya</v>
          </cell>
          <cell r="C458" t="str">
            <v>Chlorpyrifos 20% EC</v>
          </cell>
          <cell r="D458" t="str">
            <v>Altima</v>
          </cell>
          <cell r="E458" t="str">
            <v>1000 ML</v>
          </cell>
          <cell r="F458">
            <v>261</v>
          </cell>
          <cell r="G458">
            <v>18</v>
          </cell>
          <cell r="H458">
            <v>46.98</v>
          </cell>
          <cell r="I458">
            <v>307.98</v>
          </cell>
        </row>
        <row r="459">
          <cell r="B459" t="str">
            <v>Agastya</v>
          </cell>
          <cell r="C459" t="str">
            <v>Chlorpyrifos 20% EC</v>
          </cell>
          <cell r="D459" t="str">
            <v>Altima</v>
          </cell>
          <cell r="E459" t="str">
            <v>5000 ML</v>
          </cell>
          <cell r="F459">
            <v>1280</v>
          </cell>
          <cell r="G459">
            <v>18</v>
          </cell>
          <cell r="H459">
            <v>230.39999999999998</v>
          </cell>
          <cell r="I459">
            <v>1510.4</v>
          </cell>
        </row>
        <row r="460">
          <cell r="B460" t="str">
            <v>Agastya</v>
          </cell>
          <cell r="C460" t="str">
            <v>Chlorpyrifos 20% EC</v>
          </cell>
          <cell r="D460" t="str">
            <v>Altima</v>
          </cell>
          <cell r="E460" t="str">
            <v>500 ML</v>
          </cell>
          <cell r="F460">
            <v>137</v>
          </cell>
          <cell r="G460">
            <v>18</v>
          </cell>
          <cell r="H460">
            <v>24.66</v>
          </cell>
          <cell r="I460">
            <v>161.66</v>
          </cell>
        </row>
        <row r="461">
          <cell r="B461" t="str">
            <v>Agastya</v>
          </cell>
          <cell r="C461" t="str">
            <v>Chlorpyrifos 20% EC</v>
          </cell>
          <cell r="D461" t="str">
            <v>Altima</v>
          </cell>
          <cell r="E461" t="str">
            <v>250 ML</v>
          </cell>
          <cell r="F461">
            <v>74.25</v>
          </cell>
          <cell r="G461">
            <v>18</v>
          </cell>
          <cell r="H461">
            <v>13.365</v>
          </cell>
          <cell r="I461">
            <v>87.614999999999995</v>
          </cell>
        </row>
        <row r="462">
          <cell r="B462" t="str">
            <v>Agastya</v>
          </cell>
          <cell r="C462" t="str">
            <v>Chlorpyrifos 20% EC</v>
          </cell>
          <cell r="D462" t="str">
            <v>Altima</v>
          </cell>
          <cell r="E462" t="str">
            <v>20000 ML</v>
          </cell>
          <cell r="F462">
            <v>4980</v>
          </cell>
          <cell r="G462">
            <v>18</v>
          </cell>
          <cell r="H462">
            <v>896.4</v>
          </cell>
          <cell r="I462">
            <v>5876.4</v>
          </cell>
        </row>
        <row r="463">
          <cell r="B463" t="str">
            <v>Agastya</v>
          </cell>
          <cell r="C463" t="str">
            <v>Chlorpyrifos 10% GR</v>
          </cell>
          <cell r="D463" t="str">
            <v>Altima 10% Gr</v>
          </cell>
          <cell r="E463" t="str">
            <v>1000 GMS</v>
          </cell>
          <cell r="F463">
            <v>109</v>
          </cell>
          <cell r="G463">
            <v>18</v>
          </cell>
          <cell r="H463">
            <v>19.62</v>
          </cell>
          <cell r="I463">
            <v>128.62</v>
          </cell>
        </row>
        <row r="464">
          <cell r="B464" t="str">
            <v>Agastya</v>
          </cell>
          <cell r="C464" t="str">
            <v>Chlorpyrifos 10% GR</v>
          </cell>
          <cell r="D464" t="str">
            <v>Altima 10% Gr</v>
          </cell>
          <cell r="E464" t="str">
            <v>5000 GMS</v>
          </cell>
          <cell r="F464">
            <v>520</v>
          </cell>
          <cell r="G464">
            <v>18</v>
          </cell>
          <cell r="H464">
            <v>93.6</v>
          </cell>
          <cell r="I464">
            <v>613.6</v>
          </cell>
        </row>
        <row r="465">
          <cell r="B465" t="str">
            <v>Agastya</v>
          </cell>
          <cell r="C465" t="str">
            <v>Chlorpyrifos 1.5% DP</v>
          </cell>
          <cell r="D465" t="str">
            <v>Altima DP</v>
          </cell>
          <cell r="E465" t="str">
            <v>10000 GMS</v>
          </cell>
          <cell r="F465">
            <v>330</v>
          </cell>
          <cell r="G465">
            <v>18</v>
          </cell>
          <cell r="H465">
            <v>59.4</v>
          </cell>
          <cell r="I465">
            <v>389.4</v>
          </cell>
        </row>
        <row r="466">
          <cell r="B466" t="str">
            <v>Agastya</v>
          </cell>
          <cell r="C466" t="str">
            <v>Chlorpyrifos 1.5% DP</v>
          </cell>
          <cell r="D466" t="str">
            <v>Altima DP</v>
          </cell>
          <cell r="E466" t="str">
            <v>25000 GMS</v>
          </cell>
          <cell r="F466">
            <v>775</v>
          </cell>
          <cell r="G466">
            <v>18</v>
          </cell>
          <cell r="H466">
            <v>139.5</v>
          </cell>
          <cell r="I466">
            <v>914.5</v>
          </cell>
        </row>
        <row r="467">
          <cell r="B467" t="str">
            <v>Agastya</v>
          </cell>
          <cell r="C467" t="str">
            <v>Chlorpyrifos 1.5% DP</v>
          </cell>
          <cell r="D467" t="str">
            <v>Altima DP</v>
          </cell>
          <cell r="E467" t="str">
            <v>1000 GMS</v>
          </cell>
          <cell r="F467">
            <v>37</v>
          </cell>
          <cell r="G467">
            <v>18</v>
          </cell>
          <cell r="H467">
            <v>6.66</v>
          </cell>
          <cell r="I467">
            <v>43.66</v>
          </cell>
        </row>
        <row r="468">
          <cell r="B468" t="str">
            <v>Agastya</v>
          </cell>
          <cell r="C468" t="str">
            <v>Chlorpyrifos 1.5% DP</v>
          </cell>
          <cell r="D468" t="str">
            <v>Altima DP</v>
          </cell>
          <cell r="E468" t="str">
            <v>5000 GMS</v>
          </cell>
          <cell r="F468">
            <v>170</v>
          </cell>
          <cell r="G468">
            <v>18</v>
          </cell>
          <cell r="H468">
            <v>30.599999999999998</v>
          </cell>
          <cell r="I468">
            <v>200.6</v>
          </cell>
        </row>
        <row r="469">
          <cell r="B469" t="str">
            <v>Agastya</v>
          </cell>
          <cell r="C469" t="str">
            <v>Chlorpyrifos 1.5% DP</v>
          </cell>
          <cell r="D469" t="str">
            <v>Altima DP</v>
          </cell>
          <cell r="E469" t="str">
            <v>500 GMS</v>
          </cell>
          <cell r="F469">
            <v>20</v>
          </cell>
          <cell r="G469">
            <v>18</v>
          </cell>
          <cell r="H469">
            <v>3.5999999999999996</v>
          </cell>
          <cell r="I469">
            <v>23.6</v>
          </cell>
        </row>
        <row r="470">
          <cell r="B470" t="str">
            <v>Agastya</v>
          </cell>
          <cell r="C470" t="str">
            <v>Chlorpyrifos 10% GR</v>
          </cell>
          <cell r="D470" t="str">
            <v>Altima GR</v>
          </cell>
          <cell r="E470" t="str">
            <v>1000 GMS</v>
          </cell>
          <cell r="F470">
            <v>109</v>
          </cell>
          <cell r="G470">
            <v>18</v>
          </cell>
          <cell r="H470">
            <v>19.62</v>
          </cell>
          <cell r="I470">
            <v>128.62</v>
          </cell>
        </row>
        <row r="471">
          <cell r="B471" t="str">
            <v>Agastya</v>
          </cell>
          <cell r="C471" t="str">
            <v>Chlorpyrifos 10% GR</v>
          </cell>
          <cell r="D471" t="str">
            <v>Altima GR</v>
          </cell>
          <cell r="E471" t="str">
            <v>5000 GMS</v>
          </cell>
          <cell r="F471">
            <v>520</v>
          </cell>
          <cell r="G471">
            <v>18</v>
          </cell>
          <cell r="H471">
            <v>93.6</v>
          </cell>
          <cell r="I471">
            <v>613.6</v>
          </cell>
        </row>
        <row r="472">
          <cell r="B472" t="str">
            <v>Agastya</v>
          </cell>
          <cell r="C472" t="str">
            <v>Profenophos 50% EC</v>
          </cell>
          <cell r="D472" t="str">
            <v>Attack</v>
          </cell>
          <cell r="E472" t="str">
            <v>100 ML</v>
          </cell>
          <cell r="F472">
            <v>62.3</v>
          </cell>
          <cell r="G472">
            <v>18</v>
          </cell>
          <cell r="H472">
            <v>11.213999999999999</v>
          </cell>
          <cell r="I472">
            <v>73.513999999999996</v>
          </cell>
        </row>
        <row r="473">
          <cell r="B473" t="str">
            <v>Agastya</v>
          </cell>
          <cell r="C473" t="str">
            <v>Profenophos 50% EC</v>
          </cell>
          <cell r="D473" t="str">
            <v>Attack</v>
          </cell>
          <cell r="E473" t="str">
            <v>1000 ML</v>
          </cell>
          <cell r="F473">
            <v>553</v>
          </cell>
          <cell r="G473">
            <v>18</v>
          </cell>
          <cell r="H473">
            <v>99.539999999999992</v>
          </cell>
          <cell r="I473">
            <v>652.54</v>
          </cell>
        </row>
        <row r="474">
          <cell r="B474" t="str">
            <v>Agastya</v>
          </cell>
          <cell r="C474" t="str">
            <v>Profenophos 50% EC</v>
          </cell>
          <cell r="D474" t="str">
            <v>Attack</v>
          </cell>
          <cell r="E474" t="str">
            <v>5000 ML</v>
          </cell>
          <cell r="F474">
            <v>2740</v>
          </cell>
          <cell r="G474">
            <v>18</v>
          </cell>
          <cell r="H474">
            <v>493.2</v>
          </cell>
          <cell r="I474">
            <v>3233.2</v>
          </cell>
        </row>
        <row r="475">
          <cell r="B475" t="str">
            <v>Agastya</v>
          </cell>
          <cell r="C475" t="str">
            <v>Profenophos 50% EC</v>
          </cell>
          <cell r="D475" t="str">
            <v>Attack</v>
          </cell>
          <cell r="E475" t="str">
            <v>500 ML</v>
          </cell>
          <cell r="F475">
            <v>282.5</v>
          </cell>
          <cell r="G475">
            <v>18</v>
          </cell>
          <cell r="H475">
            <v>50.85</v>
          </cell>
          <cell r="I475">
            <v>333.35</v>
          </cell>
        </row>
        <row r="476">
          <cell r="B476" t="str">
            <v>Agastya</v>
          </cell>
          <cell r="C476" t="str">
            <v>Profenophos 50% EC</v>
          </cell>
          <cell r="D476" t="str">
            <v>Attack</v>
          </cell>
          <cell r="E476" t="str">
            <v>250 ML</v>
          </cell>
          <cell r="F476">
            <v>147.25</v>
          </cell>
          <cell r="G476">
            <v>18</v>
          </cell>
          <cell r="H476">
            <v>26.504999999999999</v>
          </cell>
          <cell r="I476">
            <v>173.755</v>
          </cell>
        </row>
        <row r="477">
          <cell r="B477" t="str">
            <v>Agastya</v>
          </cell>
          <cell r="C477" t="str">
            <v>Azadirachtin 1% Min</v>
          </cell>
          <cell r="D477" t="str">
            <v>Azaal</v>
          </cell>
          <cell r="E477" t="str">
            <v>1000 ML</v>
          </cell>
          <cell r="F477">
            <v>456</v>
          </cell>
          <cell r="G477">
            <v>18</v>
          </cell>
          <cell r="H477">
            <v>82.08</v>
          </cell>
          <cell r="I477">
            <v>538.08000000000004</v>
          </cell>
        </row>
        <row r="478">
          <cell r="B478" t="str">
            <v>Agastya</v>
          </cell>
          <cell r="C478" t="str">
            <v>Azadirachtin 1% Min</v>
          </cell>
          <cell r="D478" t="str">
            <v>Azaal</v>
          </cell>
          <cell r="E478" t="str">
            <v>500 ML</v>
          </cell>
          <cell r="F478">
            <v>236</v>
          </cell>
          <cell r="G478">
            <v>18</v>
          </cell>
          <cell r="H478">
            <v>42.48</v>
          </cell>
          <cell r="I478">
            <v>278.48</v>
          </cell>
        </row>
        <row r="479">
          <cell r="B479" t="str">
            <v>Agastya</v>
          </cell>
          <cell r="C479" t="str">
            <v>Azadirachtin 1% Min</v>
          </cell>
          <cell r="D479" t="str">
            <v>Azaal</v>
          </cell>
          <cell r="E479" t="str">
            <v>250 ML</v>
          </cell>
          <cell r="F479">
            <v>122</v>
          </cell>
          <cell r="G479">
            <v>18</v>
          </cell>
          <cell r="H479">
            <v>21.96</v>
          </cell>
          <cell r="I479">
            <v>143.96</v>
          </cell>
        </row>
        <row r="480">
          <cell r="B480" t="str">
            <v>Agastya</v>
          </cell>
          <cell r="C480" t="str">
            <v>Imazethapyr 10% SL</v>
          </cell>
          <cell r="D480" t="str">
            <v>Biddy</v>
          </cell>
          <cell r="E480" t="str">
            <v>500 ML</v>
          </cell>
          <cell r="F480">
            <v>336</v>
          </cell>
          <cell r="G480">
            <v>18</v>
          </cell>
          <cell r="H480">
            <v>60.48</v>
          </cell>
          <cell r="I480">
            <v>396.48</v>
          </cell>
        </row>
        <row r="481">
          <cell r="B481" t="str">
            <v>Agastya</v>
          </cell>
          <cell r="C481" t="str">
            <v>Imazethapyr 10% SL</v>
          </cell>
          <cell r="D481" t="str">
            <v>Biddy</v>
          </cell>
          <cell r="E481" t="str">
            <v>250 ML</v>
          </cell>
          <cell r="F481">
            <v>184</v>
          </cell>
          <cell r="G481">
            <v>18</v>
          </cell>
          <cell r="H481">
            <v>33.119999999999997</v>
          </cell>
          <cell r="I481">
            <v>217.12</v>
          </cell>
        </row>
        <row r="482">
          <cell r="B482" t="str">
            <v>Agastya</v>
          </cell>
          <cell r="C482" t="str">
            <v>Imazethapyr 10% SL</v>
          </cell>
          <cell r="D482" t="str">
            <v>Biddy</v>
          </cell>
          <cell r="E482" t="str">
            <v>1000 ML</v>
          </cell>
          <cell r="F482">
            <v>635</v>
          </cell>
          <cell r="G482">
            <v>18</v>
          </cell>
          <cell r="H482">
            <v>114.3</v>
          </cell>
          <cell r="I482">
            <v>749.3</v>
          </cell>
        </row>
        <row r="483">
          <cell r="B483" t="str">
            <v>Agastya</v>
          </cell>
          <cell r="C483" t="str">
            <v xml:space="preserve">Cypermethrin 25% EC </v>
          </cell>
          <cell r="D483" t="str">
            <v>Climax</v>
          </cell>
          <cell r="E483" t="str">
            <v>5000 ML</v>
          </cell>
          <cell r="F483">
            <v>1995</v>
          </cell>
          <cell r="G483">
            <v>18</v>
          </cell>
          <cell r="H483">
            <v>359.09999999999997</v>
          </cell>
          <cell r="I483">
            <v>2354.1</v>
          </cell>
        </row>
        <row r="484">
          <cell r="B484" t="str">
            <v>Agastya</v>
          </cell>
          <cell r="C484" t="str">
            <v xml:space="preserve">Cypermethrin 25% EC </v>
          </cell>
          <cell r="D484" t="str">
            <v>Climax</v>
          </cell>
          <cell r="E484" t="str">
            <v>1000 ML</v>
          </cell>
          <cell r="F484">
            <v>404</v>
          </cell>
          <cell r="G484">
            <v>18</v>
          </cell>
          <cell r="H484">
            <v>72.72</v>
          </cell>
          <cell r="I484">
            <v>476.72</v>
          </cell>
        </row>
        <row r="485">
          <cell r="B485" t="str">
            <v>Agastya</v>
          </cell>
          <cell r="C485" t="str">
            <v xml:space="preserve">Cypermethrin 25% EC </v>
          </cell>
          <cell r="D485" t="str">
            <v>Climax</v>
          </cell>
          <cell r="E485" t="str">
            <v>100 ML</v>
          </cell>
          <cell r="F485">
            <v>49</v>
          </cell>
          <cell r="G485">
            <v>18</v>
          </cell>
          <cell r="H485">
            <v>8.82</v>
          </cell>
          <cell r="I485">
            <v>57.82</v>
          </cell>
        </row>
        <row r="486">
          <cell r="B486" t="str">
            <v>Agastya</v>
          </cell>
          <cell r="C486" t="str">
            <v xml:space="preserve">Cypermethrin 25% EC </v>
          </cell>
          <cell r="D486" t="str">
            <v>Climax</v>
          </cell>
          <cell r="E486" t="str">
            <v>500 ML</v>
          </cell>
          <cell r="F486">
            <v>217</v>
          </cell>
          <cell r="G486">
            <v>18</v>
          </cell>
          <cell r="H486">
            <v>39.059999999999995</v>
          </cell>
          <cell r="I486">
            <v>256.06</v>
          </cell>
        </row>
        <row r="487">
          <cell r="B487" t="str">
            <v>Agastya</v>
          </cell>
          <cell r="C487" t="str">
            <v xml:space="preserve">Cypermethrin 25% EC </v>
          </cell>
          <cell r="D487" t="str">
            <v>Climax</v>
          </cell>
          <cell r="E487" t="str">
            <v>250 ML</v>
          </cell>
          <cell r="F487">
            <v>106.25</v>
          </cell>
          <cell r="G487">
            <v>18</v>
          </cell>
          <cell r="H487">
            <v>19.125</v>
          </cell>
          <cell r="I487">
            <v>125.375</v>
          </cell>
        </row>
        <row r="488">
          <cell r="B488" t="str">
            <v>Agastya</v>
          </cell>
          <cell r="C488" t="str">
            <v xml:space="preserve">Cypermethrin 25% EC </v>
          </cell>
          <cell r="D488" t="str">
            <v>Climax</v>
          </cell>
          <cell r="E488" t="str">
            <v>20000 ML</v>
          </cell>
          <cell r="F488">
            <v>8140</v>
          </cell>
          <cell r="G488">
            <v>18</v>
          </cell>
          <cell r="H488">
            <v>1465.2</v>
          </cell>
          <cell r="I488">
            <v>9605.2000000000007</v>
          </cell>
        </row>
        <row r="489">
          <cell r="B489" t="str">
            <v>Agastya</v>
          </cell>
          <cell r="C489" t="str">
            <v>Acephate 75% SP</v>
          </cell>
          <cell r="D489" t="str">
            <v>Destrol</v>
          </cell>
          <cell r="E489" t="str">
            <v>100 GMS</v>
          </cell>
          <cell r="F489">
            <v>65</v>
          </cell>
          <cell r="G489">
            <v>18</v>
          </cell>
          <cell r="H489">
            <v>11.7</v>
          </cell>
          <cell r="I489">
            <v>76.7</v>
          </cell>
        </row>
        <row r="490">
          <cell r="B490" t="str">
            <v>Agastya</v>
          </cell>
          <cell r="C490" t="str">
            <v>Acephate 75% SP</v>
          </cell>
          <cell r="D490" t="str">
            <v>Destrol</v>
          </cell>
          <cell r="E490" t="str">
            <v>1000 GMS</v>
          </cell>
          <cell r="F490">
            <v>595</v>
          </cell>
          <cell r="G490">
            <v>18</v>
          </cell>
          <cell r="H490">
            <v>107.1</v>
          </cell>
          <cell r="I490">
            <v>702.1</v>
          </cell>
        </row>
        <row r="491">
          <cell r="B491" t="str">
            <v>Agastya</v>
          </cell>
          <cell r="C491" t="str">
            <v>Acephate 75% SP</v>
          </cell>
          <cell r="D491" t="str">
            <v>Destrol</v>
          </cell>
          <cell r="E491" t="str">
            <v>500 GMS</v>
          </cell>
          <cell r="F491">
            <v>303</v>
          </cell>
          <cell r="G491">
            <v>18</v>
          </cell>
          <cell r="H491">
            <v>54.54</v>
          </cell>
          <cell r="I491">
            <v>357.54</v>
          </cell>
        </row>
        <row r="492">
          <cell r="B492" t="str">
            <v>Agastya</v>
          </cell>
          <cell r="C492" t="str">
            <v>Acephate 75% SP</v>
          </cell>
          <cell r="D492" t="str">
            <v>Destrol</v>
          </cell>
          <cell r="E492" t="str">
            <v>250 GMS</v>
          </cell>
          <cell r="F492">
            <v>156.25</v>
          </cell>
          <cell r="G492">
            <v>18</v>
          </cell>
          <cell r="H492">
            <v>28.125</v>
          </cell>
          <cell r="I492">
            <v>184.375</v>
          </cell>
        </row>
        <row r="493">
          <cell r="B493" t="str">
            <v>Agastya</v>
          </cell>
          <cell r="C493" t="str">
            <v>Cypermethrin 10% EC</v>
          </cell>
          <cell r="D493" t="str">
            <v>Dominate</v>
          </cell>
          <cell r="E493" t="str">
            <v>100 ML</v>
          </cell>
          <cell r="F493">
            <v>35.200000000000003</v>
          </cell>
          <cell r="G493">
            <v>18</v>
          </cell>
          <cell r="H493">
            <v>6.3360000000000003</v>
          </cell>
          <cell r="I493">
            <v>41.536000000000001</v>
          </cell>
        </row>
        <row r="494">
          <cell r="B494" t="str">
            <v>Agastya</v>
          </cell>
          <cell r="C494" t="str">
            <v>Cypermethrin 10% EC</v>
          </cell>
          <cell r="D494" t="str">
            <v>Dominate</v>
          </cell>
          <cell r="E494" t="str">
            <v>1000 ML</v>
          </cell>
          <cell r="F494">
            <v>282</v>
          </cell>
          <cell r="G494">
            <v>18</v>
          </cell>
          <cell r="H494">
            <v>50.76</v>
          </cell>
          <cell r="I494">
            <v>332.76</v>
          </cell>
        </row>
        <row r="495">
          <cell r="B495" t="str">
            <v>Agastya</v>
          </cell>
          <cell r="C495" t="str">
            <v>Cypermethrin 10% EC</v>
          </cell>
          <cell r="D495" t="str">
            <v>Dominate</v>
          </cell>
          <cell r="E495" t="str">
            <v>5000 ML</v>
          </cell>
          <cell r="F495">
            <v>1310</v>
          </cell>
          <cell r="G495">
            <v>18</v>
          </cell>
          <cell r="H495">
            <v>235.79999999999998</v>
          </cell>
          <cell r="I495">
            <v>1545.8</v>
          </cell>
        </row>
        <row r="496">
          <cell r="B496" t="str">
            <v>Agastya</v>
          </cell>
          <cell r="C496" t="str">
            <v>Cypermethrin 10% EC</v>
          </cell>
          <cell r="D496" t="str">
            <v>Dominate</v>
          </cell>
          <cell r="E496" t="str">
            <v>500 ML</v>
          </cell>
          <cell r="F496">
            <v>147</v>
          </cell>
          <cell r="G496">
            <v>18</v>
          </cell>
          <cell r="H496">
            <v>26.459999999999997</v>
          </cell>
          <cell r="I496">
            <v>173.46</v>
          </cell>
        </row>
        <row r="497">
          <cell r="B497" t="str">
            <v>Agastya</v>
          </cell>
          <cell r="C497" t="str">
            <v>Cypermethrin 10% EC</v>
          </cell>
          <cell r="D497" t="str">
            <v>Dominate</v>
          </cell>
          <cell r="E497" t="str">
            <v>250 ML</v>
          </cell>
          <cell r="F497">
            <v>80</v>
          </cell>
          <cell r="G497">
            <v>18</v>
          </cell>
          <cell r="H497">
            <v>14.399999999999999</v>
          </cell>
          <cell r="I497">
            <v>94.4</v>
          </cell>
        </row>
        <row r="498">
          <cell r="B498" t="str">
            <v>Agastya</v>
          </cell>
          <cell r="C498" t="str">
            <v>KAR ZN3% &amp; B 0.5%</v>
          </cell>
          <cell r="D498" t="str">
            <v>Extra Sammrudhi</v>
          </cell>
          <cell r="E498" t="str">
            <v>1000 ML</v>
          </cell>
          <cell r="F498">
            <v>230</v>
          </cell>
          <cell r="G498">
            <v>18</v>
          </cell>
          <cell r="H498">
            <v>41.4</v>
          </cell>
          <cell r="I498">
            <v>271.39999999999998</v>
          </cell>
        </row>
        <row r="499">
          <cell r="B499" t="str">
            <v>Agastya</v>
          </cell>
          <cell r="C499" t="str">
            <v>KAR ZN3% &amp; B 0.5%</v>
          </cell>
          <cell r="D499" t="str">
            <v>Extra Sammrudhi</v>
          </cell>
          <cell r="E499" t="str">
            <v>100 ML</v>
          </cell>
          <cell r="F499">
            <v>31</v>
          </cell>
          <cell r="G499">
            <v>18</v>
          </cell>
          <cell r="H499">
            <v>5.58</v>
          </cell>
          <cell r="I499">
            <v>36.58</v>
          </cell>
        </row>
        <row r="500">
          <cell r="B500" t="str">
            <v>Agastya</v>
          </cell>
          <cell r="C500" t="str">
            <v>KAR ZN3% &amp; B 0.5%</v>
          </cell>
          <cell r="D500" t="str">
            <v>Extra Sammrudhi</v>
          </cell>
          <cell r="E500" t="str">
            <v>500 ML</v>
          </cell>
          <cell r="F500">
            <v>123</v>
          </cell>
          <cell r="G500">
            <v>18</v>
          </cell>
          <cell r="H500">
            <v>22.14</v>
          </cell>
          <cell r="I500">
            <v>145.13999999999999</v>
          </cell>
        </row>
        <row r="501">
          <cell r="B501" t="str">
            <v>Agastya</v>
          </cell>
          <cell r="C501" t="str">
            <v>KAR ZN3% &amp; B 0.5%</v>
          </cell>
          <cell r="D501" t="str">
            <v>Extra Sammrudhi</v>
          </cell>
          <cell r="E501" t="str">
            <v>250 ML</v>
          </cell>
          <cell r="F501">
            <v>65</v>
          </cell>
          <cell r="G501">
            <v>18</v>
          </cell>
          <cell r="H501">
            <v>11.7</v>
          </cell>
          <cell r="I501">
            <v>76.7</v>
          </cell>
        </row>
        <row r="502">
          <cell r="B502" t="str">
            <v>Agastya</v>
          </cell>
          <cell r="C502" t="str">
            <v>Chlorothalonil 75% WP</v>
          </cell>
          <cell r="D502" t="str">
            <v>Falcon</v>
          </cell>
          <cell r="E502" t="str">
            <v>1000 GMS</v>
          </cell>
          <cell r="F502">
            <v>756</v>
          </cell>
          <cell r="G502">
            <v>18</v>
          </cell>
          <cell r="H502">
            <v>136.07999999999998</v>
          </cell>
          <cell r="I502">
            <v>892.07999999999993</v>
          </cell>
        </row>
        <row r="503">
          <cell r="B503" t="str">
            <v>Agastya</v>
          </cell>
          <cell r="C503" t="str">
            <v>Chlorothalonil 75% WP</v>
          </cell>
          <cell r="D503" t="str">
            <v>Falcon</v>
          </cell>
          <cell r="E503" t="str">
            <v>500 GMS</v>
          </cell>
          <cell r="F503">
            <v>388</v>
          </cell>
          <cell r="G503">
            <v>18</v>
          </cell>
          <cell r="H503">
            <v>69.84</v>
          </cell>
          <cell r="I503">
            <v>457.84000000000003</v>
          </cell>
        </row>
        <row r="504">
          <cell r="B504" t="str">
            <v>Agastya</v>
          </cell>
          <cell r="C504" t="str">
            <v>Chlorothalonil 75% WP</v>
          </cell>
          <cell r="D504" t="str">
            <v>Falcon</v>
          </cell>
          <cell r="E504" t="str">
            <v>250 GMS</v>
          </cell>
          <cell r="F504">
            <v>199</v>
          </cell>
          <cell r="G504">
            <v>18</v>
          </cell>
          <cell r="H504">
            <v>35.82</v>
          </cell>
          <cell r="I504">
            <v>234.82</v>
          </cell>
        </row>
        <row r="505">
          <cell r="B505" t="str">
            <v>Agastya</v>
          </cell>
          <cell r="C505" t="str">
            <v>Chlorothalonil 75% WP</v>
          </cell>
          <cell r="D505" t="str">
            <v>Falcon</v>
          </cell>
          <cell r="E505" t="str">
            <v>100 GMS</v>
          </cell>
          <cell r="F505">
            <v>81.599999999999994</v>
          </cell>
          <cell r="G505">
            <v>18</v>
          </cell>
          <cell r="H505">
            <v>14.687999999999999</v>
          </cell>
          <cell r="I505">
            <v>96.287999999999997</v>
          </cell>
        </row>
        <row r="506">
          <cell r="B506" t="str">
            <v>Agastya</v>
          </cell>
          <cell r="C506" t="str">
            <v>Carbendazim 46.27% SC</v>
          </cell>
          <cell r="D506" t="str">
            <v>Fresh</v>
          </cell>
          <cell r="E506" t="str">
            <v>1000 ML</v>
          </cell>
          <cell r="F506">
            <v>469</v>
          </cell>
          <cell r="G506">
            <v>18</v>
          </cell>
          <cell r="H506">
            <v>84.42</v>
          </cell>
          <cell r="I506">
            <v>553.41999999999996</v>
          </cell>
        </row>
        <row r="507">
          <cell r="B507" t="str">
            <v>Agastya</v>
          </cell>
          <cell r="C507" t="str">
            <v>Carbendazim 46.27% SC</v>
          </cell>
          <cell r="D507" t="str">
            <v>Fresh</v>
          </cell>
          <cell r="E507" t="str">
            <v>5000 ML</v>
          </cell>
          <cell r="F507">
            <v>2320</v>
          </cell>
          <cell r="G507">
            <v>18</v>
          </cell>
          <cell r="H507">
            <v>417.59999999999997</v>
          </cell>
          <cell r="I507">
            <v>2737.6</v>
          </cell>
        </row>
        <row r="508">
          <cell r="B508" t="str">
            <v>Agastya</v>
          </cell>
          <cell r="C508" t="str">
            <v>Carbendazim 46.27% SC</v>
          </cell>
          <cell r="D508" t="str">
            <v>Fresh</v>
          </cell>
          <cell r="E508" t="str">
            <v>500 ML</v>
          </cell>
          <cell r="F508">
            <v>242</v>
          </cell>
          <cell r="G508">
            <v>18</v>
          </cell>
          <cell r="H508">
            <v>43.559999999999995</v>
          </cell>
          <cell r="I508">
            <v>285.56</v>
          </cell>
        </row>
        <row r="509">
          <cell r="B509" t="str">
            <v>Agastya</v>
          </cell>
          <cell r="C509" t="str">
            <v>Carbendazim 46.27% SC</v>
          </cell>
          <cell r="D509" t="str">
            <v>Fresh</v>
          </cell>
          <cell r="E509" t="str">
            <v>250 ML</v>
          </cell>
          <cell r="F509">
            <v>125</v>
          </cell>
          <cell r="G509">
            <v>18</v>
          </cell>
          <cell r="H509">
            <v>22.5</v>
          </cell>
          <cell r="I509">
            <v>147.5</v>
          </cell>
        </row>
        <row r="510">
          <cell r="B510" t="str">
            <v>Agastya</v>
          </cell>
          <cell r="C510" t="str">
            <v>Glyphosate Amonium salt 71% SG</v>
          </cell>
          <cell r="D510" t="str">
            <v>Hera</v>
          </cell>
          <cell r="E510" t="str">
            <v>1000 GMS</v>
          </cell>
          <cell r="F510">
            <v>532</v>
          </cell>
          <cell r="G510">
            <v>18</v>
          </cell>
          <cell r="H510">
            <v>95.759999999999991</v>
          </cell>
          <cell r="I510">
            <v>627.76</v>
          </cell>
        </row>
        <row r="511">
          <cell r="B511" t="str">
            <v>Agastya</v>
          </cell>
          <cell r="C511" t="str">
            <v>Glyphosate Amonium salt 71% SG</v>
          </cell>
          <cell r="D511" t="str">
            <v>Hera</v>
          </cell>
          <cell r="E511" t="str">
            <v>100 GMS</v>
          </cell>
          <cell r="F511">
            <v>58.2</v>
          </cell>
          <cell r="G511">
            <v>18</v>
          </cell>
          <cell r="H511">
            <v>10.476000000000001</v>
          </cell>
          <cell r="I511">
            <v>68.676000000000002</v>
          </cell>
        </row>
        <row r="512">
          <cell r="B512" t="str">
            <v>Agastya</v>
          </cell>
          <cell r="C512" t="str">
            <v>Glyphosate Amonium salt 71% SG</v>
          </cell>
          <cell r="D512" t="str">
            <v>Hera</v>
          </cell>
          <cell r="E512" t="str">
            <v>500 GMS</v>
          </cell>
          <cell r="F512">
            <v>271</v>
          </cell>
          <cell r="G512">
            <v>18</v>
          </cell>
          <cell r="H512">
            <v>48.78</v>
          </cell>
          <cell r="I512">
            <v>319.77999999999997</v>
          </cell>
        </row>
        <row r="513">
          <cell r="B513" t="str">
            <v>Agastya</v>
          </cell>
          <cell r="C513" t="str">
            <v>Glyphosate Amonium salt 71% SG</v>
          </cell>
          <cell r="D513" t="str">
            <v>Hera</v>
          </cell>
          <cell r="E513" t="str">
            <v>250 GMS</v>
          </cell>
          <cell r="F513">
            <v>140.5</v>
          </cell>
          <cell r="G513">
            <v>18</v>
          </cell>
          <cell r="H513">
            <v>25.29</v>
          </cell>
          <cell r="I513">
            <v>165.79</v>
          </cell>
        </row>
        <row r="514">
          <cell r="B514" t="str">
            <v>Agastya</v>
          </cell>
          <cell r="C514" t="str">
            <v>Isoprothiolane 40% EC</v>
          </cell>
          <cell r="D514" t="str">
            <v>Iso-P</v>
          </cell>
          <cell r="E514" t="str">
            <v>1000 ML</v>
          </cell>
          <cell r="F514">
            <v>535</v>
          </cell>
          <cell r="G514">
            <v>18</v>
          </cell>
          <cell r="H514">
            <v>96.3</v>
          </cell>
          <cell r="I514">
            <v>631.29999999999995</v>
          </cell>
        </row>
        <row r="515">
          <cell r="B515" t="str">
            <v>Agastya</v>
          </cell>
          <cell r="C515" t="str">
            <v>Isoprothiolane 40% EC</v>
          </cell>
          <cell r="D515" t="str">
            <v>Iso-P</v>
          </cell>
          <cell r="E515" t="str">
            <v>500 ML</v>
          </cell>
          <cell r="F515">
            <v>274</v>
          </cell>
          <cell r="G515">
            <v>18</v>
          </cell>
          <cell r="H515">
            <v>49.32</v>
          </cell>
          <cell r="I515">
            <v>323.32</v>
          </cell>
        </row>
        <row r="516">
          <cell r="B516" t="str">
            <v>Agastya</v>
          </cell>
          <cell r="C516" t="str">
            <v>Isoprothiolane 40% EC</v>
          </cell>
          <cell r="D516" t="str">
            <v>Iso-P</v>
          </cell>
          <cell r="E516" t="str">
            <v>250 ML</v>
          </cell>
          <cell r="F516">
            <v>143</v>
          </cell>
          <cell r="G516">
            <v>18</v>
          </cell>
          <cell r="H516">
            <v>25.74</v>
          </cell>
          <cell r="I516">
            <v>168.74</v>
          </cell>
        </row>
        <row r="517">
          <cell r="B517" t="str">
            <v>Agastya</v>
          </cell>
          <cell r="C517" t="str">
            <v>Ethion 40% + Cypermethrin 5% EC</v>
          </cell>
          <cell r="D517" t="str">
            <v>Maar-45</v>
          </cell>
          <cell r="E517" t="str">
            <v>100 ML</v>
          </cell>
          <cell r="F517">
            <v>63</v>
          </cell>
          <cell r="G517">
            <v>18</v>
          </cell>
          <cell r="H517">
            <v>11.34</v>
          </cell>
          <cell r="I517">
            <v>74.34</v>
          </cell>
        </row>
        <row r="518">
          <cell r="B518" t="str">
            <v>Agastya</v>
          </cell>
          <cell r="C518" t="str">
            <v>Ethion 40% + Cypermethrin 5% EC</v>
          </cell>
          <cell r="D518" t="str">
            <v>Maar-45</v>
          </cell>
          <cell r="E518" t="str">
            <v>1000 ML</v>
          </cell>
          <cell r="F518">
            <v>550</v>
          </cell>
          <cell r="G518">
            <v>18</v>
          </cell>
          <cell r="H518">
            <v>99</v>
          </cell>
          <cell r="I518">
            <v>649</v>
          </cell>
        </row>
        <row r="519">
          <cell r="B519" t="str">
            <v>Agastya</v>
          </cell>
          <cell r="C519" t="str">
            <v>Ethion 40% + Cypermethrin 5% EC</v>
          </cell>
          <cell r="D519" t="str">
            <v>Maar-45</v>
          </cell>
          <cell r="E519" t="str">
            <v>5000 ML</v>
          </cell>
          <cell r="F519">
            <v>2725</v>
          </cell>
          <cell r="G519">
            <v>18</v>
          </cell>
          <cell r="H519">
            <v>490.5</v>
          </cell>
          <cell r="I519">
            <v>3215.5</v>
          </cell>
        </row>
        <row r="520">
          <cell r="B520" t="str">
            <v>Agastya</v>
          </cell>
          <cell r="C520" t="str">
            <v>Ethion 40% + Cypermethrin 5% EC</v>
          </cell>
          <cell r="D520" t="str">
            <v>Maar-45</v>
          </cell>
          <cell r="E520" t="str">
            <v>500 ML</v>
          </cell>
          <cell r="F520">
            <v>281</v>
          </cell>
          <cell r="G520">
            <v>18</v>
          </cell>
          <cell r="H520">
            <v>50.58</v>
          </cell>
          <cell r="I520">
            <v>331.58</v>
          </cell>
        </row>
        <row r="521">
          <cell r="B521" t="str">
            <v>Agastya</v>
          </cell>
          <cell r="C521" t="str">
            <v>Ethion 40% + Cypermethrin 5% EC</v>
          </cell>
          <cell r="D521" t="str">
            <v>Maar-45</v>
          </cell>
          <cell r="E521" t="str">
            <v>250 ML</v>
          </cell>
          <cell r="F521">
            <v>145</v>
          </cell>
          <cell r="G521">
            <v>18</v>
          </cell>
          <cell r="H521">
            <v>26.099999999999998</v>
          </cell>
          <cell r="I521">
            <v>171.1</v>
          </cell>
        </row>
        <row r="522">
          <cell r="B522" t="str">
            <v>Agastya</v>
          </cell>
          <cell r="C522" t="str">
            <v>Metribuzin 70% WP</v>
          </cell>
          <cell r="D522" t="str">
            <v>Metrotop</v>
          </cell>
          <cell r="E522" t="str">
            <v>1000 GMS</v>
          </cell>
          <cell r="F522">
            <v>1055</v>
          </cell>
          <cell r="G522">
            <v>18</v>
          </cell>
          <cell r="H522">
            <v>189.9</v>
          </cell>
          <cell r="I522">
            <v>1244.9000000000001</v>
          </cell>
        </row>
        <row r="523">
          <cell r="B523" t="str">
            <v>Agastya</v>
          </cell>
          <cell r="C523" t="str">
            <v>Metribuzin 70% WP</v>
          </cell>
          <cell r="D523" t="str">
            <v>Metrotop</v>
          </cell>
          <cell r="E523" t="str">
            <v>500 GMS</v>
          </cell>
          <cell r="F523">
            <v>533</v>
          </cell>
          <cell r="G523">
            <v>18</v>
          </cell>
          <cell r="H523">
            <v>95.94</v>
          </cell>
          <cell r="I523">
            <v>628.94000000000005</v>
          </cell>
        </row>
        <row r="524">
          <cell r="B524" t="str">
            <v>Agastya</v>
          </cell>
          <cell r="C524" t="str">
            <v>Metribuzin 70% WP</v>
          </cell>
          <cell r="D524" t="str">
            <v>Metrotop</v>
          </cell>
          <cell r="E524" t="str">
            <v>100 GMS</v>
          </cell>
          <cell r="F524">
            <v>111</v>
          </cell>
          <cell r="G524">
            <v>18</v>
          </cell>
          <cell r="H524">
            <v>19.98</v>
          </cell>
          <cell r="I524">
            <v>130.97999999999999</v>
          </cell>
        </row>
        <row r="525">
          <cell r="B525" t="str">
            <v>Agastya</v>
          </cell>
          <cell r="C525" t="str">
            <v>Metribuzin 70% WP</v>
          </cell>
          <cell r="D525" t="str">
            <v>Metrotop</v>
          </cell>
          <cell r="E525" t="str">
            <v>250 GMS</v>
          </cell>
          <cell r="F525">
            <v>271.25</v>
          </cell>
          <cell r="G525">
            <v>18</v>
          </cell>
          <cell r="H525">
            <v>48.824999999999996</v>
          </cell>
          <cell r="I525">
            <v>320.07499999999999</v>
          </cell>
        </row>
        <row r="526">
          <cell r="B526" t="str">
            <v>Agastya</v>
          </cell>
          <cell r="C526" t="str">
            <v>MFK</v>
          </cell>
          <cell r="D526" t="str">
            <v>Miracle Gold</v>
          </cell>
          <cell r="E526" t="str">
            <v>1000 ML</v>
          </cell>
          <cell r="F526">
            <v>230</v>
          </cell>
          <cell r="G526">
            <v>18</v>
          </cell>
          <cell r="H526">
            <v>41.4</v>
          </cell>
          <cell r="I526">
            <v>271.39999999999998</v>
          </cell>
        </row>
        <row r="527">
          <cell r="B527" t="str">
            <v>Agastya</v>
          </cell>
          <cell r="C527" t="str">
            <v>MFK</v>
          </cell>
          <cell r="D527" t="str">
            <v>Miracle Gold</v>
          </cell>
          <cell r="E527" t="str">
            <v>500 ML</v>
          </cell>
          <cell r="F527">
            <v>123</v>
          </cell>
          <cell r="G527">
            <v>18</v>
          </cell>
          <cell r="H527">
            <v>22.14</v>
          </cell>
          <cell r="I527">
            <v>145.13999999999999</v>
          </cell>
        </row>
        <row r="528">
          <cell r="B528" t="str">
            <v>Agastya</v>
          </cell>
          <cell r="C528" t="str">
            <v>MFK</v>
          </cell>
          <cell r="D528" t="str">
            <v>Miracle Gold</v>
          </cell>
          <cell r="E528" t="str">
            <v>250 ML</v>
          </cell>
          <cell r="F528">
            <v>65</v>
          </cell>
          <cell r="G528">
            <v>18</v>
          </cell>
          <cell r="H528">
            <v>11.7</v>
          </cell>
          <cell r="I528">
            <v>76.7</v>
          </cell>
        </row>
        <row r="529">
          <cell r="B529" t="str">
            <v>Agastya</v>
          </cell>
          <cell r="C529" t="str">
            <v>MFK</v>
          </cell>
          <cell r="D529" t="str">
            <v>Miracle Gold</v>
          </cell>
          <cell r="E529" t="str">
            <v>100 ML</v>
          </cell>
          <cell r="F529">
            <v>31</v>
          </cell>
          <cell r="G529">
            <v>18</v>
          </cell>
          <cell r="H529">
            <v>5.58</v>
          </cell>
          <cell r="I529">
            <v>36.58</v>
          </cell>
        </row>
        <row r="530">
          <cell r="B530" t="str">
            <v>Agastya</v>
          </cell>
          <cell r="C530" t="str">
            <v>Pretilachlor 37% EW</v>
          </cell>
          <cell r="D530" t="str">
            <v>Preti</v>
          </cell>
          <cell r="E530" t="str">
            <v>300 ML</v>
          </cell>
          <cell r="F530">
            <v>124.5</v>
          </cell>
          <cell r="G530">
            <v>18</v>
          </cell>
          <cell r="H530">
            <v>22.41</v>
          </cell>
          <cell r="I530">
            <v>146.91</v>
          </cell>
        </row>
        <row r="531">
          <cell r="B531" t="str">
            <v>Agastya</v>
          </cell>
          <cell r="C531" t="str">
            <v>Pretilachlor 37% EW</v>
          </cell>
          <cell r="D531" t="str">
            <v>Preti</v>
          </cell>
          <cell r="E531" t="str">
            <v>600 ML</v>
          </cell>
          <cell r="F531">
            <v>234</v>
          </cell>
          <cell r="G531">
            <v>18</v>
          </cell>
          <cell r="H531">
            <v>42.12</v>
          </cell>
          <cell r="I531">
            <v>276.12</v>
          </cell>
        </row>
        <row r="532">
          <cell r="B532" t="str">
            <v>Agastya</v>
          </cell>
          <cell r="C532" t="str">
            <v>Chlorpyrifos 50% + Cypermethrin 5% EC</v>
          </cell>
          <cell r="D532" t="str">
            <v>Raise 505</v>
          </cell>
          <cell r="E532" t="str">
            <v>100 ML</v>
          </cell>
          <cell r="F532">
            <v>64.099999999999994</v>
          </cell>
          <cell r="G532">
            <v>18</v>
          </cell>
          <cell r="H532">
            <v>11.537999999999998</v>
          </cell>
          <cell r="I532">
            <v>75.637999999999991</v>
          </cell>
        </row>
        <row r="533">
          <cell r="B533" t="str">
            <v>Agastya</v>
          </cell>
          <cell r="C533" t="str">
            <v>Chlorpyrifos 50% + Cypermethrin 5% EC</v>
          </cell>
          <cell r="D533" t="str">
            <v>Raise 505</v>
          </cell>
          <cell r="E533" t="str">
            <v>1000 ML</v>
          </cell>
          <cell r="F533">
            <v>571</v>
          </cell>
          <cell r="G533">
            <v>18</v>
          </cell>
          <cell r="H533">
            <v>102.78</v>
          </cell>
          <cell r="I533">
            <v>673.78</v>
          </cell>
        </row>
        <row r="534">
          <cell r="B534" t="str">
            <v>Agastya</v>
          </cell>
          <cell r="C534" t="str">
            <v>Chlorpyrifos 50% + Cypermethrin 5% EC</v>
          </cell>
          <cell r="D534" t="str">
            <v>Raise 505</v>
          </cell>
          <cell r="E534" t="str">
            <v>5000 ML</v>
          </cell>
          <cell r="F534">
            <v>2830</v>
          </cell>
          <cell r="G534">
            <v>18</v>
          </cell>
          <cell r="H534">
            <v>509.4</v>
          </cell>
          <cell r="I534">
            <v>3339.4</v>
          </cell>
        </row>
        <row r="535">
          <cell r="B535" t="str">
            <v>Agastya</v>
          </cell>
          <cell r="C535" t="str">
            <v>Chlorpyrifos 50% + Cypermethrin 5% EC</v>
          </cell>
          <cell r="D535" t="str">
            <v>Raise 505</v>
          </cell>
          <cell r="E535" t="str">
            <v>500 ML</v>
          </cell>
          <cell r="F535">
            <v>291.5</v>
          </cell>
          <cell r="G535">
            <v>18</v>
          </cell>
          <cell r="H535">
            <v>52.47</v>
          </cell>
          <cell r="I535">
            <v>343.97</v>
          </cell>
        </row>
        <row r="536">
          <cell r="B536" t="str">
            <v>Agastya</v>
          </cell>
          <cell r="C536" t="str">
            <v>Chlorpyrifos 50% + Cypermethrin 5% EC</v>
          </cell>
          <cell r="D536" t="str">
            <v>Raise 505</v>
          </cell>
          <cell r="E536" t="str">
            <v>250 ML</v>
          </cell>
          <cell r="F536">
            <v>151.75</v>
          </cell>
          <cell r="G536">
            <v>18</v>
          </cell>
          <cell r="H536">
            <v>27.314999999999998</v>
          </cell>
          <cell r="I536">
            <v>179.065</v>
          </cell>
        </row>
        <row r="537">
          <cell r="B537" t="str">
            <v>Agastya</v>
          </cell>
          <cell r="C537" t="str">
            <v>Chlorpyrifos 50% EC</v>
          </cell>
          <cell r="D537" t="str">
            <v>Ranger</v>
          </cell>
          <cell r="E537" t="str">
            <v>20000 ML</v>
          </cell>
          <cell r="F537">
            <v>10540</v>
          </cell>
          <cell r="G537">
            <v>18</v>
          </cell>
          <cell r="H537">
            <v>1897.1999999999998</v>
          </cell>
          <cell r="I537">
            <v>12437.2</v>
          </cell>
        </row>
        <row r="538">
          <cell r="B538" t="str">
            <v>Agastya</v>
          </cell>
          <cell r="C538" t="str">
            <v>Chlorpyrifos 50% EC</v>
          </cell>
          <cell r="D538" t="str">
            <v>Ranger</v>
          </cell>
          <cell r="E538" t="str">
            <v>1000 ML</v>
          </cell>
          <cell r="F538">
            <v>527</v>
          </cell>
          <cell r="G538">
            <v>18</v>
          </cell>
          <cell r="H538">
            <v>94.86</v>
          </cell>
          <cell r="I538">
            <v>621.86</v>
          </cell>
        </row>
        <row r="539">
          <cell r="B539" t="str">
            <v>Agastya</v>
          </cell>
          <cell r="C539" t="str">
            <v>Chlorpyrifos 50% EC</v>
          </cell>
          <cell r="D539" t="str">
            <v>Ranger</v>
          </cell>
          <cell r="E539" t="str">
            <v>5000 ML</v>
          </cell>
          <cell r="F539">
            <v>2610</v>
          </cell>
          <cell r="G539">
            <v>18</v>
          </cell>
          <cell r="H539">
            <v>469.79999999999995</v>
          </cell>
          <cell r="I539">
            <v>3079.8</v>
          </cell>
        </row>
        <row r="540">
          <cell r="B540" t="str">
            <v>Agastya</v>
          </cell>
          <cell r="C540" t="str">
            <v>Chlorpyrifos 50% EC</v>
          </cell>
          <cell r="D540" t="str">
            <v>Ranger</v>
          </cell>
          <cell r="E540" t="str">
            <v>500 ML</v>
          </cell>
          <cell r="F540">
            <v>269.5</v>
          </cell>
          <cell r="G540">
            <v>18</v>
          </cell>
          <cell r="H540">
            <v>48.51</v>
          </cell>
          <cell r="I540">
            <v>318.01</v>
          </cell>
        </row>
        <row r="541">
          <cell r="B541" t="str">
            <v>Agastya</v>
          </cell>
          <cell r="C541" t="str">
            <v>Chlorpyrifos 50% EC</v>
          </cell>
          <cell r="D541" t="str">
            <v>Ranger</v>
          </cell>
          <cell r="E541" t="str">
            <v>250 ML</v>
          </cell>
          <cell r="F541">
            <v>140.75</v>
          </cell>
          <cell r="G541">
            <v>18</v>
          </cell>
          <cell r="H541">
            <v>25.334999999999997</v>
          </cell>
          <cell r="I541">
            <v>166.08500000000001</v>
          </cell>
        </row>
        <row r="542">
          <cell r="B542" t="str">
            <v>Agastya</v>
          </cell>
          <cell r="C542" t="str">
            <v>Pendimethalin 30% EC</v>
          </cell>
          <cell r="D542" t="str">
            <v>Shoot</v>
          </cell>
          <cell r="E542" t="str">
            <v>1000 ML</v>
          </cell>
          <cell r="F542">
            <v>308</v>
          </cell>
          <cell r="G542">
            <v>18</v>
          </cell>
          <cell r="H542">
            <v>55.44</v>
          </cell>
          <cell r="I542">
            <v>363.44</v>
          </cell>
        </row>
        <row r="543">
          <cell r="B543" t="str">
            <v>Agastya</v>
          </cell>
          <cell r="C543" t="str">
            <v>Pendimethalin 30% EC</v>
          </cell>
          <cell r="D543" t="str">
            <v>Shoot</v>
          </cell>
          <cell r="E543" t="str">
            <v>5000 ML</v>
          </cell>
          <cell r="F543">
            <v>1515</v>
          </cell>
          <cell r="G543">
            <v>18</v>
          </cell>
          <cell r="H543">
            <v>272.7</v>
          </cell>
          <cell r="I543">
            <v>1787.7</v>
          </cell>
        </row>
        <row r="544">
          <cell r="B544" t="str">
            <v>Agastya</v>
          </cell>
          <cell r="C544" t="str">
            <v>Pendimethalin 30% EC</v>
          </cell>
          <cell r="D544" t="str">
            <v>Shoot</v>
          </cell>
          <cell r="E544" t="str">
            <v>500 ML</v>
          </cell>
          <cell r="F544">
            <v>160</v>
          </cell>
          <cell r="G544">
            <v>18</v>
          </cell>
          <cell r="H544">
            <v>28.799999999999997</v>
          </cell>
          <cell r="I544">
            <v>188.8</v>
          </cell>
        </row>
        <row r="545">
          <cell r="B545" t="str">
            <v>Agastya</v>
          </cell>
          <cell r="C545" t="str">
            <v>Pendimethalin 30% EC</v>
          </cell>
          <cell r="D545" t="str">
            <v>Shoot</v>
          </cell>
          <cell r="E545" t="str">
            <v>250 ML</v>
          </cell>
          <cell r="F545">
            <v>85</v>
          </cell>
          <cell r="G545">
            <v>18</v>
          </cell>
          <cell r="H545">
            <v>15.299999999999999</v>
          </cell>
          <cell r="I545">
            <v>100.3</v>
          </cell>
        </row>
        <row r="546">
          <cell r="B546" t="str">
            <v>Agastya</v>
          </cell>
          <cell r="C546" t="str">
            <v>Pendimethalin 38.7% CS</v>
          </cell>
          <cell r="D546" t="str">
            <v>Shoot Extra</v>
          </cell>
          <cell r="E546" t="str">
            <v>700 ML</v>
          </cell>
          <cell r="F546">
            <v>326.33999999999997</v>
          </cell>
          <cell r="G546">
            <v>18</v>
          </cell>
          <cell r="H546">
            <v>58.741199999999992</v>
          </cell>
          <cell r="I546">
            <v>385.08119999999997</v>
          </cell>
        </row>
        <row r="547">
          <cell r="B547" t="str">
            <v>Agastya</v>
          </cell>
          <cell r="C547" t="str">
            <v>Pendimethalin 38.7% CS</v>
          </cell>
          <cell r="D547" t="str">
            <v>Shoot Extra</v>
          </cell>
          <cell r="E547" t="str">
            <v>3500 ML</v>
          </cell>
          <cell r="F547">
            <v>1565</v>
          </cell>
          <cell r="G547">
            <v>18</v>
          </cell>
          <cell r="H547">
            <v>281.7</v>
          </cell>
          <cell r="I547">
            <v>1846.7</v>
          </cell>
        </row>
        <row r="548">
          <cell r="B548" t="str">
            <v>Agastya</v>
          </cell>
          <cell r="C548" t="str">
            <v>Pendimethalin 38.7% CS</v>
          </cell>
          <cell r="D548" t="str">
            <v>Shoot Extra</v>
          </cell>
          <cell r="E548" t="str">
            <v>350 ML</v>
          </cell>
          <cell r="F548">
            <v>172.27</v>
          </cell>
          <cell r="G548">
            <v>18</v>
          </cell>
          <cell r="H548">
            <v>31.008600000000001</v>
          </cell>
          <cell r="I548">
            <v>203.27860000000001</v>
          </cell>
        </row>
        <row r="549">
          <cell r="B549" t="str">
            <v>Agastya</v>
          </cell>
          <cell r="C549" t="str">
            <v>Profenophos 40% + Cypermethrin 4% EC</v>
          </cell>
          <cell r="D549" t="str">
            <v>Stroke</v>
          </cell>
          <cell r="E549" t="str">
            <v>1000 ML</v>
          </cell>
          <cell r="F549">
            <v>494</v>
          </cell>
          <cell r="G549">
            <v>18</v>
          </cell>
          <cell r="H549">
            <v>88.92</v>
          </cell>
          <cell r="I549">
            <v>582.91999999999996</v>
          </cell>
        </row>
        <row r="550">
          <cell r="B550" t="str">
            <v>Agastya</v>
          </cell>
          <cell r="C550" t="str">
            <v>Profenophos 40% + Cypermethrin 4% EC</v>
          </cell>
          <cell r="D550" t="str">
            <v>Stroke</v>
          </cell>
          <cell r="E550" t="str">
            <v>100 ML</v>
          </cell>
          <cell r="F550">
            <v>56.4</v>
          </cell>
          <cell r="G550">
            <v>18</v>
          </cell>
          <cell r="H550">
            <v>10.151999999999999</v>
          </cell>
          <cell r="I550">
            <v>66.551999999999992</v>
          </cell>
        </row>
        <row r="551">
          <cell r="B551" t="str">
            <v>Agastya</v>
          </cell>
          <cell r="C551" t="str">
            <v>Profenophos 40% + Cypermethrin 4% EC</v>
          </cell>
          <cell r="D551" t="str">
            <v>Stroke</v>
          </cell>
          <cell r="E551" t="str">
            <v>5000 ML</v>
          </cell>
          <cell r="F551">
            <v>2445</v>
          </cell>
          <cell r="G551">
            <v>18</v>
          </cell>
          <cell r="H551">
            <v>440.09999999999997</v>
          </cell>
          <cell r="I551">
            <v>2885.1</v>
          </cell>
        </row>
        <row r="552">
          <cell r="B552" t="str">
            <v>Agastya</v>
          </cell>
          <cell r="C552" t="str">
            <v>Profenophos 40% + Cypermethrin 4% EC</v>
          </cell>
          <cell r="D552" t="str">
            <v>Stroke</v>
          </cell>
          <cell r="E552" t="str">
            <v>500 ML</v>
          </cell>
          <cell r="F552">
            <v>253</v>
          </cell>
          <cell r="G552">
            <v>18</v>
          </cell>
          <cell r="H552">
            <v>45.54</v>
          </cell>
          <cell r="I552">
            <v>298.54000000000002</v>
          </cell>
        </row>
        <row r="553">
          <cell r="B553" t="str">
            <v>Agastya</v>
          </cell>
          <cell r="C553" t="str">
            <v>Profenophos 40% + Cypermethrin 4% EC</v>
          </cell>
          <cell r="D553" t="str">
            <v>Stroke</v>
          </cell>
          <cell r="E553" t="str">
            <v>250 ML</v>
          </cell>
          <cell r="F553">
            <v>132.5</v>
          </cell>
          <cell r="G553">
            <v>18</v>
          </cell>
          <cell r="H553">
            <v>23.849999999999998</v>
          </cell>
          <cell r="I553">
            <v>156.35</v>
          </cell>
        </row>
        <row r="554">
          <cell r="B554" t="str">
            <v>Agastya</v>
          </cell>
          <cell r="C554" t="str">
            <v>Gibberellic Acid 0.001% L</v>
          </cell>
          <cell r="D554" t="str">
            <v>Supreme</v>
          </cell>
          <cell r="E554" t="str">
            <v>1000 ML</v>
          </cell>
          <cell r="F554">
            <v>275</v>
          </cell>
          <cell r="G554">
            <v>18</v>
          </cell>
          <cell r="H554">
            <v>49.5</v>
          </cell>
          <cell r="I554">
            <v>324.5</v>
          </cell>
        </row>
        <row r="555">
          <cell r="B555" t="str">
            <v>Agastya</v>
          </cell>
          <cell r="C555" t="str">
            <v>Gibberellic Acid 0.001% L</v>
          </cell>
          <cell r="D555" t="str">
            <v>Supreme</v>
          </cell>
          <cell r="E555" t="str">
            <v>5000 ML</v>
          </cell>
          <cell r="F555">
            <v>1350</v>
          </cell>
          <cell r="G555">
            <v>18</v>
          </cell>
          <cell r="H555">
            <v>243</v>
          </cell>
          <cell r="I555">
            <v>1593</v>
          </cell>
        </row>
        <row r="556">
          <cell r="B556" t="str">
            <v>Agastya</v>
          </cell>
          <cell r="C556" t="str">
            <v>Gibberellic Acid 0.001% L</v>
          </cell>
          <cell r="D556" t="str">
            <v>Supreme</v>
          </cell>
          <cell r="E556" t="str">
            <v>500 ML</v>
          </cell>
          <cell r="F556">
            <v>145</v>
          </cell>
          <cell r="G556">
            <v>18</v>
          </cell>
          <cell r="H556">
            <v>26.099999999999998</v>
          </cell>
          <cell r="I556">
            <v>171.1</v>
          </cell>
        </row>
        <row r="557">
          <cell r="B557" t="str">
            <v>Agastya</v>
          </cell>
          <cell r="C557" t="str">
            <v>Gibberellic Acid 0.001% L</v>
          </cell>
          <cell r="D557" t="str">
            <v>Supreme</v>
          </cell>
          <cell r="E557" t="str">
            <v>250 ML</v>
          </cell>
          <cell r="F557">
            <v>76.25</v>
          </cell>
          <cell r="G557">
            <v>18</v>
          </cell>
          <cell r="H557">
            <v>13.725</v>
          </cell>
          <cell r="I557">
            <v>89.974999999999994</v>
          </cell>
        </row>
        <row r="558">
          <cell r="B558" t="str">
            <v>Agastya</v>
          </cell>
          <cell r="C558" t="str">
            <v>Gibberellic Acid 0.001% L</v>
          </cell>
          <cell r="D558" t="str">
            <v>Supreme</v>
          </cell>
          <cell r="E558" t="str">
            <v>100 ML</v>
          </cell>
          <cell r="F558">
            <v>35</v>
          </cell>
          <cell r="G558">
            <v>18</v>
          </cell>
          <cell r="H558">
            <v>6.3</v>
          </cell>
          <cell r="I558">
            <v>41.3</v>
          </cell>
        </row>
        <row r="559">
          <cell r="B559" t="str">
            <v>Agastya</v>
          </cell>
          <cell r="C559" t="str">
            <v>2,4 D Amine Salt 58% SL</v>
          </cell>
          <cell r="D559" t="str">
            <v>Sweep</v>
          </cell>
          <cell r="E559" t="str">
            <v>20000 ML</v>
          </cell>
          <cell r="F559">
            <v>5380</v>
          </cell>
          <cell r="G559">
            <v>18</v>
          </cell>
          <cell r="H559">
            <v>968.4</v>
          </cell>
          <cell r="I559">
            <v>6348.4</v>
          </cell>
        </row>
        <row r="560">
          <cell r="B560" t="str">
            <v>Agastya</v>
          </cell>
          <cell r="C560" t="str">
            <v>2,4 D Amine Salt 58% SL</v>
          </cell>
          <cell r="D560" t="str">
            <v>Sweep</v>
          </cell>
          <cell r="E560" t="str">
            <v>1000 ML</v>
          </cell>
          <cell r="F560">
            <v>281</v>
          </cell>
          <cell r="G560">
            <v>18</v>
          </cell>
          <cell r="H560">
            <v>50.58</v>
          </cell>
          <cell r="I560">
            <v>331.58</v>
          </cell>
        </row>
        <row r="561">
          <cell r="B561" t="str">
            <v>Agastya</v>
          </cell>
          <cell r="C561" t="str">
            <v>2,4 D Amine Salt 58% SL</v>
          </cell>
          <cell r="D561" t="str">
            <v>Sweep</v>
          </cell>
          <cell r="E561" t="str">
            <v>5000 ML</v>
          </cell>
          <cell r="F561">
            <v>1380</v>
          </cell>
          <cell r="G561">
            <v>18</v>
          </cell>
          <cell r="H561">
            <v>248.39999999999998</v>
          </cell>
          <cell r="I561">
            <v>1628.4</v>
          </cell>
        </row>
        <row r="562">
          <cell r="B562" t="str">
            <v>Agastya</v>
          </cell>
          <cell r="C562" t="str">
            <v>2,4 D Amine Salt 58% SL</v>
          </cell>
          <cell r="D562" t="str">
            <v>Sweep</v>
          </cell>
          <cell r="E562" t="str">
            <v>400 ML</v>
          </cell>
          <cell r="F562">
            <v>118.4</v>
          </cell>
          <cell r="G562">
            <v>18</v>
          </cell>
          <cell r="H562">
            <v>21.312000000000001</v>
          </cell>
          <cell r="I562">
            <v>139.71200000000002</v>
          </cell>
        </row>
        <row r="563">
          <cell r="B563" t="str">
            <v>Agastya</v>
          </cell>
          <cell r="C563" t="str">
            <v>2,4 D Amine Salt 58% SL</v>
          </cell>
          <cell r="D563" t="str">
            <v>Sweep</v>
          </cell>
          <cell r="E563" t="str">
            <v>500 ML</v>
          </cell>
          <cell r="F563">
            <v>148</v>
          </cell>
          <cell r="G563">
            <v>18</v>
          </cell>
          <cell r="H563">
            <v>26.64</v>
          </cell>
          <cell r="I563">
            <v>174.64</v>
          </cell>
        </row>
        <row r="564">
          <cell r="B564" t="str">
            <v>Agastya</v>
          </cell>
          <cell r="C564" t="str">
            <v>2,4 D Amine Salt 58% SL</v>
          </cell>
          <cell r="D564" t="str">
            <v>Sweep</v>
          </cell>
          <cell r="E564" t="str">
            <v>250 ML</v>
          </cell>
          <cell r="F564">
            <v>78</v>
          </cell>
          <cell r="G564">
            <v>18</v>
          </cell>
          <cell r="H564">
            <v>14.04</v>
          </cell>
          <cell r="I564">
            <v>92.039999999999992</v>
          </cell>
        </row>
        <row r="565">
          <cell r="B565" t="str">
            <v>Agastya</v>
          </cell>
          <cell r="C565" t="str">
            <v>Carbendazim 50% WP</v>
          </cell>
          <cell r="D565" t="str">
            <v>Teja</v>
          </cell>
          <cell r="E565" t="str">
            <v>1000 GMS</v>
          </cell>
          <cell r="F565">
            <v>454</v>
          </cell>
          <cell r="G565">
            <v>18</v>
          </cell>
          <cell r="H565">
            <v>81.72</v>
          </cell>
          <cell r="I565">
            <v>535.72</v>
          </cell>
        </row>
        <row r="566">
          <cell r="B566" t="str">
            <v>Agastya</v>
          </cell>
          <cell r="C566" t="str">
            <v>Carbendazim 50% WP</v>
          </cell>
          <cell r="D566" t="str">
            <v>Teja</v>
          </cell>
          <cell r="E566" t="str">
            <v>500 GMS</v>
          </cell>
          <cell r="F566">
            <v>232</v>
          </cell>
          <cell r="G566">
            <v>18</v>
          </cell>
          <cell r="H566">
            <v>41.76</v>
          </cell>
          <cell r="I566">
            <v>273.76</v>
          </cell>
        </row>
        <row r="567">
          <cell r="B567" t="str">
            <v>Agastya</v>
          </cell>
          <cell r="C567" t="str">
            <v>Carbendazim 50% WP</v>
          </cell>
          <cell r="D567" t="str">
            <v>Teja</v>
          </cell>
          <cell r="E567" t="str">
            <v>250 GMS</v>
          </cell>
          <cell r="F567">
            <v>121</v>
          </cell>
          <cell r="G567">
            <v>18</v>
          </cell>
          <cell r="H567">
            <v>21.779999999999998</v>
          </cell>
          <cell r="I567">
            <v>142.78</v>
          </cell>
        </row>
        <row r="568">
          <cell r="B568" t="str">
            <v>Agastya</v>
          </cell>
          <cell r="C568" t="str">
            <v>Carbendazim 50% WP</v>
          </cell>
          <cell r="D568" t="str">
            <v>Teja</v>
          </cell>
          <cell r="E568" t="str">
            <v>100 GMS</v>
          </cell>
          <cell r="F568">
            <v>50.4</v>
          </cell>
          <cell r="G568">
            <v>18</v>
          </cell>
          <cell r="H568">
            <v>9.0719999999999992</v>
          </cell>
          <cell r="I568">
            <v>59.471999999999994</v>
          </cell>
        </row>
        <row r="569">
          <cell r="B569" t="str">
            <v>Agastya</v>
          </cell>
          <cell r="C569" t="str">
            <v>Growth Promoter</v>
          </cell>
          <cell r="D569" t="str">
            <v xml:space="preserve">Amino Guard </v>
          </cell>
          <cell r="E569" t="str">
            <v>1000 ML</v>
          </cell>
          <cell r="F569">
            <v>230</v>
          </cell>
          <cell r="G569">
            <v>5</v>
          </cell>
          <cell r="H569">
            <v>11.5</v>
          </cell>
          <cell r="I569">
            <v>241.5</v>
          </cell>
        </row>
        <row r="570">
          <cell r="B570" t="str">
            <v>Agastya</v>
          </cell>
          <cell r="C570" t="str">
            <v>Growth Promoter</v>
          </cell>
          <cell r="D570" t="str">
            <v xml:space="preserve">Amino Guard </v>
          </cell>
          <cell r="E570" t="str">
            <v>5000 ML</v>
          </cell>
          <cell r="F570">
            <v>1125</v>
          </cell>
          <cell r="G570">
            <v>5</v>
          </cell>
          <cell r="H570">
            <v>56.25</v>
          </cell>
          <cell r="I570">
            <v>1181.25</v>
          </cell>
        </row>
        <row r="571">
          <cell r="B571" t="str">
            <v>Agastya</v>
          </cell>
          <cell r="C571" t="str">
            <v>Growth Promoter</v>
          </cell>
          <cell r="D571" t="str">
            <v xml:space="preserve">Amino Guard </v>
          </cell>
          <cell r="E571" t="str">
            <v>500 ML</v>
          </cell>
          <cell r="F571">
            <v>123</v>
          </cell>
          <cell r="G571">
            <v>5</v>
          </cell>
          <cell r="H571">
            <v>6.15</v>
          </cell>
          <cell r="I571">
            <v>129.15</v>
          </cell>
        </row>
        <row r="572">
          <cell r="B572" t="str">
            <v>Agastya</v>
          </cell>
          <cell r="C572" t="str">
            <v>Growth Promoter</v>
          </cell>
          <cell r="D572" t="str">
            <v xml:space="preserve">Amino Guard </v>
          </cell>
          <cell r="E572" t="str">
            <v>250 ML</v>
          </cell>
          <cell r="F572">
            <v>65</v>
          </cell>
          <cell r="G572">
            <v>5</v>
          </cell>
          <cell r="H572">
            <v>3.25</v>
          </cell>
          <cell r="I572">
            <v>68.25</v>
          </cell>
        </row>
        <row r="573">
          <cell r="B573" t="str">
            <v>Agastya</v>
          </cell>
          <cell r="C573" t="str">
            <v>Growth Promoter</v>
          </cell>
          <cell r="D573" t="str">
            <v xml:space="preserve">Amino Guard </v>
          </cell>
          <cell r="E573" t="str">
            <v>100 ML</v>
          </cell>
          <cell r="F573">
            <v>31</v>
          </cell>
          <cell r="G573">
            <v>5</v>
          </cell>
          <cell r="H573">
            <v>1.55</v>
          </cell>
          <cell r="I573">
            <v>32.549999999999997</v>
          </cell>
        </row>
        <row r="574">
          <cell r="B574" t="str">
            <v>Agastya</v>
          </cell>
          <cell r="C574" t="str">
            <v>Growth Promoter</v>
          </cell>
          <cell r="D574" t="str">
            <v>Bactiguard</v>
          </cell>
          <cell r="E574" t="str">
            <v>20 GMS</v>
          </cell>
          <cell r="F574">
            <v>30</v>
          </cell>
          <cell r="G574">
            <v>5</v>
          </cell>
          <cell r="H574">
            <v>1.5</v>
          </cell>
          <cell r="I574">
            <v>31.5</v>
          </cell>
        </row>
        <row r="575">
          <cell r="B575" t="str">
            <v>Agastya</v>
          </cell>
          <cell r="C575" t="str">
            <v>Growth Promoter</v>
          </cell>
          <cell r="D575" t="str">
            <v>Bactiguard</v>
          </cell>
          <cell r="E575" t="str">
            <v>100 GMS</v>
          </cell>
          <cell r="F575">
            <v>130</v>
          </cell>
          <cell r="G575">
            <v>5</v>
          </cell>
          <cell r="H575">
            <v>6.5</v>
          </cell>
          <cell r="I575">
            <v>136.5</v>
          </cell>
        </row>
        <row r="576">
          <cell r="B576" t="str">
            <v>Agastya</v>
          </cell>
          <cell r="C576" t="str">
            <v>Growth Promoter</v>
          </cell>
          <cell r="D576" t="str">
            <v>Bactiguard</v>
          </cell>
          <cell r="E576" t="str">
            <v>50 GMS</v>
          </cell>
          <cell r="F576">
            <v>70</v>
          </cell>
          <cell r="G576">
            <v>5</v>
          </cell>
          <cell r="H576">
            <v>3.5</v>
          </cell>
          <cell r="I576">
            <v>73.5</v>
          </cell>
        </row>
        <row r="577">
          <cell r="B577" t="str">
            <v>Agastya</v>
          </cell>
          <cell r="C577" t="str">
            <v>Growth Promoter</v>
          </cell>
          <cell r="D577" t="str">
            <v>Bio-Energy</v>
          </cell>
          <cell r="E577" t="str">
            <v>2 ML</v>
          </cell>
          <cell r="F577">
            <v>92</v>
          </cell>
          <cell r="G577">
            <v>5</v>
          </cell>
          <cell r="H577">
            <v>4.6000000000000005</v>
          </cell>
          <cell r="I577">
            <v>96.6</v>
          </cell>
        </row>
        <row r="578">
          <cell r="B578" t="str">
            <v>Agastya</v>
          </cell>
          <cell r="C578" t="str">
            <v>Growth Promoter</v>
          </cell>
          <cell r="D578" t="str">
            <v>Bio-Energy</v>
          </cell>
          <cell r="E578" t="str">
            <v>5 ML</v>
          </cell>
          <cell r="F578">
            <v>185</v>
          </cell>
          <cell r="G578">
            <v>5</v>
          </cell>
          <cell r="H578">
            <v>9.25</v>
          </cell>
          <cell r="I578">
            <v>194.25</v>
          </cell>
        </row>
        <row r="579">
          <cell r="B579" t="str">
            <v>Agastya</v>
          </cell>
          <cell r="C579" t="str">
            <v>Growth Promoter</v>
          </cell>
          <cell r="D579" t="str">
            <v>Bio-Energy</v>
          </cell>
          <cell r="E579" t="str">
            <v>10 ML</v>
          </cell>
          <cell r="F579">
            <v>350</v>
          </cell>
          <cell r="G579">
            <v>5</v>
          </cell>
          <cell r="H579">
            <v>17.5</v>
          </cell>
          <cell r="I579">
            <v>367.5</v>
          </cell>
        </row>
        <row r="580">
          <cell r="B580" t="str">
            <v>Agastya</v>
          </cell>
          <cell r="C580" t="str">
            <v>Growth Promoter</v>
          </cell>
          <cell r="D580" t="str">
            <v>Bison</v>
          </cell>
          <cell r="E580" t="str">
            <v>1000 ML</v>
          </cell>
          <cell r="F580">
            <v>600</v>
          </cell>
          <cell r="G580">
            <v>5</v>
          </cell>
          <cell r="H580">
            <v>30</v>
          </cell>
          <cell r="I580">
            <v>630</v>
          </cell>
        </row>
        <row r="581">
          <cell r="B581" t="str">
            <v>Agastya</v>
          </cell>
          <cell r="C581" t="str">
            <v>Growth Promoter</v>
          </cell>
          <cell r="D581" t="str">
            <v>Bison</v>
          </cell>
          <cell r="E581" t="str">
            <v>5000 ML</v>
          </cell>
          <cell r="F581">
            <v>2975</v>
          </cell>
          <cell r="G581">
            <v>5</v>
          </cell>
          <cell r="H581">
            <v>148.75</v>
          </cell>
          <cell r="I581">
            <v>3123.75</v>
          </cell>
        </row>
        <row r="582">
          <cell r="B582" t="str">
            <v>Agastya</v>
          </cell>
          <cell r="C582" t="str">
            <v>Growth Promoter</v>
          </cell>
          <cell r="D582" t="str">
            <v>Bison</v>
          </cell>
          <cell r="E582" t="str">
            <v>500 ML</v>
          </cell>
          <cell r="F582">
            <v>307.5</v>
          </cell>
          <cell r="G582">
            <v>5</v>
          </cell>
          <cell r="H582">
            <v>15.375</v>
          </cell>
          <cell r="I582">
            <v>322.875</v>
          </cell>
        </row>
        <row r="583">
          <cell r="B583" t="str">
            <v>Agastya</v>
          </cell>
          <cell r="C583" t="str">
            <v>Growth Promoter</v>
          </cell>
          <cell r="D583" t="str">
            <v>Bison</v>
          </cell>
          <cell r="E583" t="str">
            <v>250 ML</v>
          </cell>
          <cell r="F583">
            <v>157.5</v>
          </cell>
          <cell r="G583">
            <v>5</v>
          </cell>
          <cell r="H583">
            <v>7.875</v>
          </cell>
          <cell r="I583">
            <v>165.375</v>
          </cell>
        </row>
        <row r="584">
          <cell r="B584" t="str">
            <v>Agastya</v>
          </cell>
          <cell r="C584" t="str">
            <v>Growth Promoter</v>
          </cell>
          <cell r="D584" t="str">
            <v>Bison</v>
          </cell>
          <cell r="E584" t="str">
            <v>100 ML</v>
          </cell>
          <cell r="F584">
            <v>67.5</v>
          </cell>
          <cell r="G584">
            <v>5</v>
          </cell>
          <cell r="H584">
            <v>3.375</v>
          </cell>
          <cell r="I584">
            <v>70.875</v>
          </cell>
        </row>
        <row r="585">
          <cell r="B585" t="str">
            <v>Agastya</v>
          </cell>
          <cell r="C585" t="str">
            <v>Liquid Consortia</v>
          </cell>
          <cell r="D585" t="str">
            <v>Bison Gold</v>
          </cell>
          <cell r="E585" t="str">
            <v>1000 ML</v>
          </cell>
          <cell r="F585">
            <v>600</v>
          </cell>
          <cell r="G585">
            <v>5</v>
          </cell>
          <cell r="H585">
            <v>30</v>
          </cell>
          <cell r="I585">
            <v>630</v>
          </cell>
        </row>
        <row r="586">
          <cell r="B586" t="str">
            <v>Agastya</v>
          </cell>
          <cell r="C586" t="str">
            <v>Liquid Consortia</v>
          </cell>
          <cell r="D586" t="str">
            <v>Bison Gold</v>
          </cell>
          <cell r="E586" t="str">
            <v>500 ML</v>
          </cell>
          <cell r="F586">
            <v>307.5</v>
          </cell>
          <cell r="G586">
            <v>5</v>
          </cell>
          <cell r="H586">
            <v>15.375</v>
          </cell>
          <cell r="I586">
            <v>322.875</v>
          </cell>
        </row>
        <row r="587">
          <cell r="B587" t="str">
            <v>Agastya</v>
          </cell>
          <cell r="C587" t="str">
            <v>Liquid Consortia</v>
          </cell>
          <cell r="D587" t="str">
            <v>Bison Gold</v>
          </cell>
          <cell r="E587" t="str">
            <v>250 ML</v>
          </cell>
          <cell r="F587">
            <v>157.5</v>
          </cell>
          <cell r="G587">
            <v>5</v>
          </cell>
          <cell r="H587">
            <v>7.875</v>
          </cell>
          <cell r="I587">
            <v>165.375</v>
          </cell>
        </row>
        <row r="588">
          <cell r="B588" t="str">
            <v>Agastya</v>
          </cell>
          <cell r="C588" t="str">
            <v>Liquid Consortia</v>
          </cell>
          <cell r="D588" t="str">
            <v>Bison Gold</v>
          </cell>
          <cell r="E588" t="str">
            <v>100 ML</v>
          </cell>
          <cell r="F588">
            <v>67.5</v>
          </cell>
          <cell r="G588">
            <v>5</v>
          </cell>
          <cell r="H588">
            <v>3.375</v>
          </cell>
          <cell r="I588">
            <v>70.875</v>
          </cell>
        </row>
        <row r="589">
          <cell r="B589" t="str">
            <v>Agastya</v>
          </cell>
          <cell r="C589" t="str">
            <v>Growth Promoter</v>
          </cell>
          <cell r="D589" t="str">
            <v>Flower</v>
          </cell>
          <cell r="E589" t="str">
            <v>1000 ML</v>
          </cell>
          <cell r="F589">
            <v>230</v>
          </cell>
          <cell r="G589">
            <v>5</v>
          </cell>
          <cell r="H589">
            <v>11.5</v>
          </cell>
          <cell r="I589">
            <v>241.5</v>
          </cell>
        </row>
        <row r="590">
          <cell r="B590" t="str">
            <v>Agastya</v>
          </cell>
          <cell r="C590" t="str">
            <v>Growth Promoter</v>
          </cell>
          <cell r="D590" t="str">
            <v>Flower</v>
          </cell>
          <cell r="E590" t="str">
            <v>5000 ML</v>
          </cell>
          <cell r="F590">
            <v>1125</v>
          </cell>
          <cell r="G590">
            <v>5</v>
          </cell>
          <cell r="H590">
            <v>56.25</v>
          </cell>
          <cell r="I590">
            <v>1181.25</v>
          </cell>
        </row>
        <row r="591">
          <cell r="B591" t="str">
            <v>Agastya</v>
          </cell>
          <cell r="C591" t="str">
            <v>Growth Promoter</v>
          </cell>
          <cell r="D591" t="str">
            <v>Flower</v>
          </cell>
          <cell r="E591" t="str">
            <v>500 ML</v>
          </cell>
          <cell r="F591">
            <v>123</v>
          </cell>
          <cell r="G591">
            <v>5</v>
          </cell>
          <cell r="H591">
            <v>6.15</v>
          </cell>
          <cell r="I591">
            <v>129.15</v>
          </cell>
        </row>
        <row r="592">
          <cell r="B592" t="str">
            <v>Agastya</v>
          </cell>
          <cell r="C592" t="str">
            <v>Growth Promoter</v>
          </cell>
          <cell r="D592" t="str">
            <v>Flower</v>
          </cell>
          <cell r="E592" t="str">
            <v>250 ML</v>
          </cell>
          <cell r="F592">
            <v>65</v>
          </cell>
          <cell r="G592">
            <v>5</v>
          </cell>
          <cell r="H592">
            <v>3.25</v>
          </cell>
          <cell r="I592">
            <v>68.25</v>
          </cell>
        </row>
        <row r="593">
          <cell r="B593" t="str">
            <v>Agastya</v>
          </cell>
          <cell r="C593" t="str">
            <v>Growth Promoter</v>
          </cell>
          <cell r="D593" t="str">
            <v>Flower</v>
          </cell>
          <cell r="E593" t="str">
            <v>100 ML</v>
          </cell>
          <cell r="F593">
            <v>31</v>
          </cell>
          <cell r="G593">
            <v>5</v>
          </cell>
          <cell r="H593">
            <v>1.55</v>
          </cell>
          <cell r="I593">
            <v>32.549999999999997</v>
          </cell>
        </row>
        <row r="594">
          <cell r="B594" t="str">
            <v>Agastya</v>
          </cell>
          <cell r="C594" t="str">
            <v>See Weed Extract</v>
          </cell>
          <cell r="D594" t="str">
            <v>Herbostim Gr</v>
          </cell>
          <cell r="E594" t="str">
            <v>25000 GMS</v>
          </cell>
          <cell r="F594">
            <v>775</v>
          </cell>
          <cell r="G594">
            <v>5</v>
          </cell>
          <cell r="H594">
            <v>38.75</v>
          </cell>
          <cell r="I594">
            <v>813.75</v>
          </cell>
        </row>
        <row r="595">
          <cell r="B595" t="str">
            <v>Agastya</v>
          </cell>
          <cell r="C595" t="str">
            <v>See Weed Extract</v>
          </cell>
          <cell r="D595" t="str">
            <v>Herbostim Gr</v>
          </cell>
          <cell r="E595" t="str">
            <v>50000 GMS</v>
          </cell>
          <cell r="F595">
            <v>1542</v>
          </cell>
          <cell r="G595">
            <v>5</v>
          </cell>
          <cell r="H595">
            <v>77.100000000000009</v>
          </cell>
          <cell r="I595">
            <v>1619.1</v>
          </cell>
        </row>
        <row r="596">
          <cell r="B596" t="str">
            <v>Agastya</v>
          </cell>
          <cell r="C596" t="str">
            <v>See Weed Extract</v>
          </cell>
          <cell r="D596" t="str">
            <v>Herbostim Gr</v>
          </cell>
          <cell r="E596" t="str">
            <v>8000 GMS</v>
          </cell>
          <cell r="F596">
            <v>268</v>
          </cell>
          <cell r="G596">
            <v>5</v>
          </cell>
          <cell r="H596">
            <v>13.4</v>
          </cell>
          <cell r="I596">
            <v>281.39999999999998</v>
          </cell>
        </row>
        <row r="597">
          <cell r="B597" t="str">
            <v>Agastya</v>
          </cell>
          <cell r="C597" t="str">
            <v>See Weed Extract</v>
          </cell>
          <cell r="D597" t="str">
            <v>Herbostim Gr</v>
          </cell>
          <cell r="E597" t="str">
            <v>4000 GMS</v>
          </cell>
          <cell r="F597">
            <v>137</v>
          </cell>
          <cell r="G597">
            <v>5</v>
          </cell>
          <cell r="H597">
            <v>6.8500000000000005</v>
          </cell>
          <cell r="I597">
            <v>143.85</v>
          </cell>
        </row>
        <row r="598">
          <cell r="B598" t="str">
            <v>Agastya</v>
          </cell>
          <cell r="C598" t="str">
            <v>See Weed Extract</v>
          </cell>
          <cell r="D598" t="str">
            <v>Herbostim Gr</v>
          </cell>
          <cell r="E598" t="str">
            <v>10000 GMS</v>
          </cell>
          <cell r="F598">
            <v>398</v>
          </cell>
          <cell r="G598">
            <v>5</v>
          </cell>
          <cell r="H598">
            <v>19.900000000000002</v>
          </cell>
          <cell r="I598">
            <v>417.9</v>
          </cell>
        </row>
        <row r="599">
          <cell r="B599" t="str">
            <v>Agastya</v>
          </cell>
          <cell r="C599" t="str">
            <v>See Weed Extract</v>
          </cell>
          <cell r="D599" t="str">
            <v>Herbostim Gr</v>
          </cell>
          <cell r="E599" t="str">
            <v>20000 GMS</v>
          </cell>
          <cell r="F599">
            <v>765</v>
          </cell>
          <cell r="G599">
            <v>5</v>
          </cell>
          <cell r="H599">
            <v>38.25</v>
          </cell>
          <cell r="I599">
            <v>803.25</v>
          </cell>
        </row>
        <row r="600">
          <cell r="B600" t="str">
            <v>Agastya</v>
          </cell>
          <cell r="C600" t="str">
            <v>See Weed Extract</v>
          </cell>
          <cell r="D600" t="str">
            <v>Herbostim Gr</v>
          </cell>
          <cell r="E600" t="str">
            <v>48000 GMS</v>
          </cell>
          <cell r="F600">
            <v>1852</v>
          </cell>
          <cell r="G600">
            <v>5</v>
          </cell>
          <cell r="H600">
            <v>92.600000000000009</v>
          </cell>
          <cell r="I600">
            <v>1944.6</v>
          </cell>
        </row>
        <row r="601">
          <cell r="B601" t="str">
            <v>Agastya</v>
          </cell>
          <cell r="C601" t="str">
            <v>See Weed Extract</v>
          </cell>
          <cell r="D601" t="str">
            <v>Herbostim General</v>
          </cell>
          <cell r="E601" t="str">
            <v>1000 ML</v>
          </cell>
          <cell r="F601">
            <v>230</v>
          </cell>
          <cell r="G601">
            <v>5</v>
          </cell>
          <cell r="H601">
            <v>11.5</v>
          </cell>
          <cell r="I601">
            <v>241.5</v>
          </cell>
        </row>
        <row r="602">
          <cell r="B602" t="str">
            <v>Agastya</v>
          </cell>
          <cell r="C602" t="str">
            <v>See Weed Extract</v>
          </cell>
          <cell r="D602" t="str">
            <v>Herbostim General</v>
          </cell>
          <cell r="E602" t="str">
            <v>5000 ML</v>
          </cell>
          <cell r="F602">
            <v>1125</v>
          </cell>
          <cell r="G602">
            <v>5</v>
          </cell>
          <cell r="H602">
            <v>56.25</v>
          </cell>
          <cell r="I602">
            <v>1181.25</v>
          </cell>
        </row>
        <row r="603">
          <cell r="B603" t="str">
            <v>Agastya</v>
          </cell>
          <cell r="C603" t="str">
            <v>See Weed Extract</v>
          </cell>
          <cell r="D603" t="str">
            <v>Herbostim General</v>
          </cell>
          <cell r="E603" t="str">
            <v>500 ML</v>
          </cell>
          <cell r="F603">
            <v>123</v>
          </cell>
          <cell r="G603">
            <v>5</v>
          </cell>
          <cell r="H603">
            <v>6.15</v>
          </cell>
          <cell r="I603">
            <v>129.15</v>
          </cell>
        </row>
        <row r="604">
          <cell r="B604" t="str">
            <v>Agastya</v>
          </cell>
          <cell r="C604" t="str">
            <v>See Weed Extract</v>
          </cell>
          <cell r="D604" t="str">
            <v>Herbostim General</v>
          </cell>
          <cell r="E604" t="str">
            <v>250 ML</v>
          </cell>
          <cell r="F604">
            <v>65</v>
          </cell>
          <cell r="G604">
            <v>5</v>
          </cell>
          <cell r="H604">
            <v>3.25</v>
          </cell>
          <cell r="I604">
            <v>68.25</v>
          </cell>
        </row>
        <row r="605">
          <cell r="B605" t="str">
            <v>Agastya</v>
          </cell>
          <cell r="C605" t="str">
            <v>See Weed Extract</v>
          </cell>
          <cell r="D605" t="str">
            <v>Herbostim General</v>
          </cell>
          <cell r="E605" t="str">
            <v>100 ML</v>
          </cell>
          <cell r="F605">
            <v>31</v>
          </cell>
          <cell r="G605">
            <v>5</v>
          </cell>
          <cell r="H605">
            <v>1.55</v>
          </cell>
          <cell r="I605">
            <v>32.549999999999997</v>
          </cell>
        </row>
        <row r="606">
          <cell r="B606" t="str">
            <v>Agastya</v>
          </cell>
          <cell r="C606" t="str">
            <v>Growth Promoter</v>
          </cell>
          <cell r="D606" t="str">
            <v>Jackpot Plus</v>
          </cell>
          <cell r="E606" t="str">
            <v>1000 ML</v>
          </cell>
          <cell r="F606">
            <v>573</v>
          </cell>
          <cell r="G606">
            <v>5</v>
          </cell>
          <cell r="H606">
            <v>28.650000000000002</v>
          </cell>
          <cell r="I606">
            <v>601.65</v>
          </cell>
        </row>
        <row r="607">
          <cell r="B607" t="str">
            <v>Agastya</v>
          </cell>
          <cell r="C607" t="str">
            <v>Growth Promoter</v>
          </cell>
          <cell r="D607" t="str">
            <v>Jackpot Plus</v>
          </cell>
          <cell r="E607" t="str">
            <v>500 ML</v>
          </cell>
          <cell r="F607">
            <v>294</v>
          </cell>
          <cell r="G607">
            <v>5</v>
          </cell>
          <cell r="H607">
            <v>14.700000000000001</v>
          </cell>
          <cell r="I607">
            <v>308.7</v>
          </cell>
        </row>
        <row r="608">
          <cell r="B608" t="str">
            <v>Agastya</v>
          </cell>
          <cell r="C608" t="str">
            <v>Growth Promoter</v>
          </cell>
          <cell r="D608" t="str">
            <v>Jackpot Plus</v>
          </cell>
          <cell r="E608" t="str">
            <v>250 ML</v>
          </cell>
          <cell r="F608">
            <v>152.25</v>
          </cell>
          <cell r="G608">
            <v>5</v>
          </cell>
          <cell r="H608">
            <v>7.6125000000000007</v>
          </cell>
          <cell r="I608">
            <v>159.86250000000001</v>
          </cell>
        </row>
        <row r="609">
          <cell r="B609" t="str">
            <v>Agastya</v>
          </cell>
          <cell r="C609" t="str">
            <v>Growth Promoter</v>
          </cell>
          <cell r="D609" t="str">
            <v>Jackpot Plus</v>
          </cell>
          <cell r="E609" t="str">
            <v>100 ML</v>
          </cell>
          <cell r="F609">
            <v>65</v>
          </cell>
          <cell r="G609">
            <v>5</v>
          </cell>
          <cell r="H609">
            <v>3.25</v>
          </cell>
          <cell r="I609">
            <v>68.25</v>
          </cell>
        </row>
        <row r="610">
          <cell r="B610" t="str">
            <v>Agastya</v>
          </cell>
          <cell r="C610" t="str">
            <v>Growth Promoter</v>
          </cell>
          <cell r="D610" t="str">
            <v>Miracle</v>
          </cell>
          <cell r="E610" t="str">
            <v>1000 ML</v>
          </cell>
          <cell r="F610">
            <v>230</v>
          </cell>
          <cell r="G610">
            <v>5</v>
          </cell>
          <cell r="H610">
            <v>11.5</v>
          </cell>
          <cell r="I610">
            <v>241.5</v>
          </cell>
        </row>
        <row r="611">
          <cell r="B611" t="str">
            <v>Agastya</v>
          </cell>
          <cell r="C611" t="str">
            <v>Growth Promoter</v>
          </cell>
          <cell r="D611" t="str">
            <v>Miracle</v>
          </cell>
          <cell r="E611" t="str">
            <v>5000 ML</v>
          </cell>
          <cell r="F611">
            <v>1125</v>
          </cell>
          <cell r="G611">
            <v>5</v>
          </cell>
          <cell r="H611">
            <v>56.25</v>
          </cell>
          <cell r="I611">
            <v>1181.25</v>
          </cell>
        </row>
        <row r="612">
          <cell r="B612" t="str">
            <v>Agastya</v>
          </cell>
          <cell r="C612" t="str">
            <v>Growth Promoter</v>
          </cell>
          <cell r="D612" t="str">
            <v>Miracle</v>
          </cell>
          <cell r="E612" t="str">
            <v>500 ML</v>
          </cell>
          <cell r="F612">
            <v>123</v>
          </cell>
          <cell r="G612">
            <v>5</v>
          </cell>
          <cell r="H612">
            <v>6.15</v>
          </cell>
          <cell r="I612">
            <v>129.15</v>
          </cell>
        </row>
        <row r="613">
          <cell r="B613" t="str">
            <v>Agastya</v>
          </cell>
          <cell r="C613" t="str">
            <v>Growth Promoter</v>
          </cell>
          <cell r="D613" t="str">
            <v>Miracle</v>
          </cell>
          <cell r="E613" t="str">
            <v>250 ML</v>
          </cell>
          <cell r="F613">
            <v>65</v>
          </cell>
          <cell r="G613">
            <v>5</v>
          </cell>
          <cell r="H613">
            <v>3.25</v>
          </cell>
          <cell r="I613">
            <v>68.25</v>
          </cell>
        </row>
        <row r="614">
          <cell r="B614" t="str">
            <v>Agastya</v>
          </cell>
          <cell r="C614" t="str">
            <v>Growth Promoter</v>
          </cell>
          <cell r="D614" t="str">
            <v>Miracle</v>
          </cell>
          <cell r="E614" t="str">
            <v>100 ML</v>
          </cell>
          <cell r="F614">
            <v>31</v>
          </cell>
          <cell r="G614">
            <v>5</v>
          </cell>
          <cell r="H614">
            <v>1.55</v>
          </cell>
          <cell r="I614">
            <v>32.549999999999997</v>
          </cell>
        </row>
        <row r="615">
          <cell r="B615" t="str">
            <v>Agastya</v>
          </cell>
          <cell r="C615" t="str">
            <v>Growth Promoter</v>
          </cell>
          <cell r="D615" t="str">
            <v>Nano-F-Liquid</v>
          </cell>
          <cell r="E615" t="str">
            <v>1000 ML</v>
          </cell>
          <cell r="F615">
            <v>1200</v>
          </cell>
          <cell r="G615">
            <v>5</v>
          </cell>
          <cell r="H615">
            <v>60</v>
          </cell>
          <cell r="I615">
            <v>1260</v>
          </cell>
        </row>
        <row r="616">
          <cell r="B616" t="str">
            <v>Agastya</v>
          </cell>
          <cell r="C616" t="str">
            <v>Growth Promoter</v>
          </cell>
          <cell r="D616" t="str">
            <v>Nano-F-Liquid</v>
          </cell>
          <cell r="E616" t="str">
            <v>500 ML</v>
          </cell>
          <cell r="F616">
            <v>607.5</v>
          </cell>
          <cell r="G616">
            <v>5</v>
          </cell>
          <cell r="H616">
            <v>30.375</v>
          </cell>
          <cell r="I616">
            <v>637.875</v>
          </cell>
        </row>
        <row r="617">
          <cell r="B617" t="str">
            <v>Agastya</v>
          </cell>
          <cell r="C617" t="str">
            <v>Growth Promoter</v>
          </cell>
          <cell r="D617" t="str">
            <v>Nano-F-Liquid</v>
          </cell>
          <cell r="E617" t="str">
            <v>250 ML</v>
          </cell>
          <cell r="F617">
            <v>307.5</v>
          </cell>
          <cell r="G617">
            <v>5</v>
          </cell>
          <cell r="H617">
            <v>15.375</v>
          </cell>
          <cell r="I617">
            <v>322.875</v>
          </cell>
        </row>
        <row r="618">
          <cell r="B618" t="str">
            <v>Agastya</v>
          </cell>
          <cell r="C618" t="str">
            <v>Growth Promoter</v>
          </cell>
          <cell r="D618" t="str">
            <v>Nano-F-Liquid</v>
          </cell>
          <cell r="E618" t="str">
            <v>100 ML</v>
          </cell>
          <cell r="F618">
            <v>127.5</v>
          </cell>
          <cell r="G618">
            <v>5</v>
          </cell>
          <cell r="H618">
            <v>6.375</v>
          </cell>
          <cell r="I618">
            <v>133.875</v>
          </cell>
        </row>
        <row r="619">
          <cell r="B619" t="str">
            <v>Agastya</v>
          </cell>
          <cell r="C619" t="str">
            <v>Growth Promoter</v>
          </cell>
          <cell r="D619" t="str">
            <v>Growth Promoter</v>
          </cell>
          <cell r="E619" t="str">
            <v>300 GMS</v>
          </cell>
          <cell r="F619">
            <v>195</v>
          </cell>
          <cell r="G619">
            <v>5</v>
          </cell>
          <cell r="H619">
            <v>9.75</v>
          </cell>
          <cell r="I619">
            <v>204.75</v>
          </cell>
        </row>
        <row r="620">
          <cell r="B620" t="str">
            <v>Agastya</v>
          </cell>
          <cell r="C620" t="str">
            <v>Growth Promoter</v>
          </cell>
          <cell r="D620" t="str">
            <v>Growth Promoter</v>
          </cell>
          <cell r="E620" t="str">
            <v>150 GMS</v>
          </cell>
          <cell r="F620">
            <v>110</v>
          </cell>
          <cell r="G620">
            <v>5</v>
          </cell>
          <cell r="H620">
            <v>5.5</v>
          </cell>
          <cell r="I620">
            <v>115.5</v>
          </cell>
        </row>
        <row r="621">
          <cell r="B621" t="str">
            <v>Agastya</v>
          </cell>
          <cell r="C621" t="str">
            <v>Growth Promoter</v>
          </cell>
          <cell r="D621" t="str">
            <v>Growth Promoter</v>
          </cell>
          <cell r="E621" t="str">
            <v>500 GMS</v>
          </cell>
          <cell r="F621">
            <v>335</v>
          </cell>
          <cell r="G621">
            <v>5</v>
          </cell>
          <cell r="H621">
            <v>16.75</v>
          </cell>
          <cell r="I621">
            <v>351.75</v>
          </cell>
        </row>
        <row r="622">
          <cell r="B622" t="str">
            <v>Agastya</v>
          </cell>
          <cell r="C622" t="str">
            <v>Growth Promoter</v>
          </cell>
          <cell r="D622" t="str">
            <v>Sammrudhi Gr</v>
          </cell>
          <cell r="E622" t="str">
            <v>10000 GMS</v>
          </cell>
          <cell r="F622">
            <v>398</v>
          </cell>
          <cell r="G622">
            <v>5</v>
          </cell>
          <cell r="H622">
            <v>19.900000000000002</v>
          </cell>
          <cell r="I622">
            <v>417.9</v>
          </cell>
        </row>
        <row r="623">
          <cell r="B623" t="str">
            <v>Agastya</v>
          </cell>
          <cell r="C623" t="str">
            <v>Growth Promoter</v>
          </cell>
          <cell r="D623" t="str">
            <v>Sammrudhi Gr</v>
          </cell>
          <cell r="E623" t="str">
            <v>25000 GMS</v>
          </cell>
          <cell r="F623">
            <v>775</v>
          </cell>
          <cell r="G623">
            <v>5</v>
          </cell>
          <cell r="H623">
            <v>38.75</v>
          </cell>
          <cell r="I623">
            <v>813.75</v>
          </cell>
        </row>
        <row r="624">
          <cell r="B624" t="str">
            <v>Agastya</v>
          </cell>
          <cell r="C624" t="str">
            <v>Growth Promoter</v>
          </cell>
          <cell r="D624" t="str">
            <v>Sammrudhi Gr</v>
          </cell>
          <cell r="E624" t="str">
            <v>50000 GMS</v>
          </cell>
          <cell r="F624">
            <v>1542</v>
          </cell>
          <cell r="G624">
            <v>5</v>
          </cell>
          <cell r="H624">
            <v>77.100000000000009</v>
          </cell>
          <cell r="I624">
            <v>1619.1</v>
          </cell>
        </row>
        <row r="625">
          <cell r="B625" t="str">
            <v>Agastya</v>
          </cell>
          <cell r="C625" t="str">
            <v>Growth Promoter</v>
          </cell>
          <cell r="D625" t="str">
            <v>Sammrudhi Gr</v>
          </cell>
          <cell r="E625" t="str">
            <v>5000 GMS</v>
          </cell>
          <cell r="F625">
            <v>210</v>
          </cell>
          <cell r="G625">
            <v>5</v>
          </cell>
          <cell r="H625">
            <v>10.5</v>
          </cell>
          <cell r="I625">
            <v>220.5</v>
          </cell>
        </row>
        <row r="626">
          <cell r="B626" t="str">
            <v>Agastya</v>
          </cell>
          <cell r="C626" t="str">
            <v>Growth Promoter</v>
          </cell>
          <cell r="D626" t="str">
            <v>Sammrudhi Gr</v>
          </cell>
          <cell r="E626" t="str">
            <v>48000 GMS</v>
          </cell>
          <cell r="F626">
            <v>1852</v>
          </cell>
          <cell r="G626">
            <v>5</v>
          </cell>
          <cell r="H626">
            <v>92.600000000000009</v>
          </cell>
          <cell r="I626">
            <v>1944.6</v>
          </cell>
        </row>
        <row r="627">
          <cell r="B627" t="str">
            <v>Agastya</v>
          </cell>
          <cell r="C627" t="str">
            <v>Growth Promoter</v>
          </cell>
          <cell r="D627" t="str">
            <v>Shakti</v>
          </cell>
          <cell r="E627" t="str">
            <v>10000 GMS</v>
          </cell>
          <cell r="F627">
            <v>398</v>
          </cell>
          <cell r="G627">
            <v>5</v>
          </cell>
          <cell r="H627">
            <v>19.900000000000002</v>
          </cell>
          <cell r="I627">
            <v>417.9</v>
          </cell>
        </row>
        <row r="628">
          <cell r="B628" t="str">
            <v>Agastya</v>
          </cell>
          <cell r="C628" t="str">
            <v>Sticking Agent</v>
          </cell>
          <cell r="D628" t="str">
            <v>Spider</v>
          </cell>
          <cell r="E628" t="str">
            <v>1000 ML</v>
          </cell>
          <cell r="F628">
            <v>170</v>
          </cell>
          <cell r="G628">
            <v>5</v>
          </cell>
          <cell r="H628">
            <v>8.5</v>
          </cell>
          <cell r="I628">
            <v>178.5</v>
          </cell>
        </row>
        <row r="629">
          <cell r="B629" t="str">
            <v>Agastya</v>
          </cell>
          <cell r="C629" t="str">
            <v>Sticking Agent</v>
          </cell>
          <cell r="D629" t="str">
            <v>Spider</v>
          </cell>
          <cell r="E629" t="str">
            <v>5000 ML</v>
          </cell>
          <cell r="F629">
            <v>825</v>
          </cell>
          <cell r="G629">
            <v>5</v>
          </cell>
          <cell r="H629">
            <v>41.25</v>
          </cell>
          <cell r="I629">
            <v>866.25</v>
          </cell>
        </row>
        <row r="630">
          <cell r="B630" t="str">
            <v>Agastya</v>
          </cell>
          <cell r="C630" t="str">
            <v>Sticking Agent</v>
          </cell>
          <cell r="D630" t="str">
            <v>Spider</v>
          </cell>
          <cell r="E630" t="str">
            <v>500 ML</v>
          </cell>
          <cell r="F630">
            <v>93</v>
          </cell>
          <cell r="G630">
            <v>5</v>
          </cell>
          <cell r="H630">
            <v>4.6500000000000004</v>
          </cell>
          <cell r="I630">
            <v>97.65</v>
          </cell>
        </row>
        <row r="631">
          <cell r="B631" t="str">
            <v>Agastya</v>
          </cell>
          <cell r="C631" t="str">
            <v>Sticking Agent</v>
          </cell>
          <cell r="D631" t="str">
            <v>Spider</v>
          </cell>
          <cell r="E631" t="str">
            <v>250 ML</v>
          </cell>
          <cell r="F631">
            <v>50</v>
          </cell>
          <cell r="G631">
            <v>5</v>
          </cell>
          <cell r="H631">
            <v>2.5</v>
          </cell>
          <cell r="I631">
            <v>52.5</v>
          </cell>
        </row>
        <row r="632">
          <cell r="B632" t="str">
            <v>Agastya</v>
          </cell>
          <cell r="C632" t="str">
            <v>Sticking Agent</v>
          </cell>
          <cell r="D632" t="str">
            <v>Spider</v>
          </cell>
          <cell r="E632" t="str">
            <v>100 ML</v>
          </cell>
          <cell r="F632">
            <v>25</v>
          </cell>
          <cell r="G632">
            <v>5</v>
          </cell>
          <cell r="H632">
            <v>1.25</v>
          </cell>
          <cell r="I632">
            <v>26.25</v>
          </cell>
        </row>
        <row r="633">
          <cell r="B633" t="str">
            <v>Agastya</v>
          </cell>
          <cell r="C633" t="str">
            <v>Growth Promoter</v>
          </cell>
          <cell r="D633" t="str">
            <v>Super Herbostim</v>
          </cell>
          <cell r="E633" t="str">
            <v>1000 ML</v>
          </cell>
          <cell r="F633">
            <v>230</v>
          </cell>
          <cell r="G633">
            <v>5</v>
          </cell>
          <cell r="H633">
            <v>11.5</v>
          </cell>
          <cell r="I633">
            <v>241.5</v>
          </cell>
        </row>
        <row r="634">
          <cell r="B634" t="str">
            <v>Agastya</v>
          </cell>
          <cell r="C634" t="str">
            <v>Growth Promoter</v>
          </cell>
          <cell r="D634" t="str">
            <v>Super Herbostim</v>
          </cell>
          <cell r="E634" t="str">
            <v>5000 ML</v>
          </cell>
          <cell r="F634">
            <v>1125</v>
          </cell>
          <cell r="G634">
            <v>5</v>
          </cell>
          <cell r="H634">
            <v>56.25</v>
          </cell>
          <cell r="I634">
            <v>1181.25</v>
          </cell>
        </row>
        <row r="635">
          <cell r="B635" t="str">
            <v>Agastya</v>
          </cell>
          <cell r="C635" t="str">
            <v>Growth Promoter</v>
          </cell>
          <cell r="D635" t="str">
            <v>Super Herbostim</v>
          </cell>
          <cell r="E635" t="str">
            <v>500 ML</v>
          </cell>
          <cell r="F635">
            <v>123</v>
          </cell>
          <cell r="G635">
            <v>5</v>
          </cell>
          <cell r="H635">
            <v>6.15</v>
          </cell>
          <cell r="I635">
            <v>129.15</v>
          </cell>
        </row>
        <row r="636">
          <cell r="B636" t="str">
            <v>Agastya</v>
          </cell>
          <cell r="C636" t="str">
            <v>Growth Promoter</v>
          </cell>
          <cell r="D636" t="str">
            <v>Super Herbostim</v>
          </cell>
          <cell r="E636" t="str">
            <v>250 ML</v>
          </cell>
          <cell r="F636">
            <v>65</v>
          </cell>
          <cell r="G636">
            <v>5</v>
          </cell>
          <cell r="H636">
            <v>3.25</v>
          </cell>
          <cell r="I636">
            <v>68.25</v>
          </cell>
        </row>
        <row r="637">
          <cell r="B637" t="str">
            <v>Agastya</v>
          </cell>
          <cell r="C637" t="str">
            <v>Growth Promoter</v>
          </cell>
          <cell r="D637" t="str">
            <v>Super Herbostim</v>
          </cell>
          <cell r="E637" t="str">
            <v>100 ML</v>
          </cell>
          <cell r="F637">
            <v>31</v>
          </cell>
          <cell r="G637">
            <v>5</v>
          </cell>
          <cell r="H637">
            <v>1.55</v>
          </cell>
          <cell r="I637">
            <v>32.549999999999997</v>
          </cell>
        </row>
        <row r="638">
          <cell r="B638" t="str">
            <v>Agastya</v>
          </cell>
          <cell r="C638" t="str">
            <v>Ortho Silic Acid 2.0% WSL</v>
          </cell>
          <cell r="D638" t="str">
            <v>Super Nano-F</v>
          </cell>
          <cell r="E638" t="str">
            <v>1000 ML</v>
          </cell>
          <cell r="F638">
            <v>1200</v>
          </cell>
          <cell r="G638">
            <v>5</v>
          </cell>
          <cell r="H638">
            <v>60</v>
          </cell>
          <cell r="I638">
            <v>1260</v>
          </cell>
        </row>
        <row r="639">
          <cell r="B639" t="str">
            <v>Agastya</v>
          </cell>
          <cell r="C639" t="str">
            <v>Ortho Silic Acid 2.0% WSL</v>
          </cell>
          <cell r="D639" t="str">
            <v>Super Nano-F</v>
          </cell>
          <cell r="E639" t="str">
            <v>500 ML</v>
          </cell>
          <cell r="F639">
            <v>607.5</v>
          </cell>
          <cell r="G639">
            <v>5</v>
          </cell>
          <cell r="H639">
            <v>30.375</v>
          </cell>
          <cell r="I639">
            <v>637.875</v>
          </cell>
        </row>
        <row r="640">
          <cell r="B640" t="str">
            <v>Agastya</v>
          </cell>
          <cell r="C640" t="str">
            <v>Ortho Silic Acid 2.0% WSL</v>
          </cell>
          <cell r="D640" t="str">
            <v>Super Nano-F</v>
          </cell>
          <cell r="E640" t="str">
            <v>250 ML</v>
          </cell>
          <cell r="F640">
            <v>307.5</v>
          </cell>
          <cell r="G640">
            <v>5</v>
          </cell>
          <cell r="H640">
            <v>15.375</v>
          </cell>
          <cell r="I640">
            <v>322.875</v>
          </cell>
        </row>
        <row r="641">
          <cell r="B641" t="str">
            <v>Agastya</v>
          </cell>
          <cell r="C641" t="str">
            <v>Ortho Silic Acid 2.0% WSL</v>
          </cell>
          <cell r="D641" t="str">
            <v>Super Nano-F</v>
          </cell>
          <cell r="E641" t="str">
            <v>100 ML</v>
          </cell>
          <cell r="F641">
            <v>127.5</v>
          </cell>
          <cell r="G641">
            <v>5</v>
          </cell>
          <cell r="H641">
            <v>6.375</v>
          </cell>
          <cell r="I641">
            <v>133.875</v>
          </cell>
        </row>
        <row r="642">
          <cell r="B642" t="str">
            <v>Agastya</v>
          </cell>
          <cell r="C642" t="str">
            <v>Growth Promoter</v>
          </cell>
          <cell r="D642" t="str">
            <v>Victor</v>
          </cell>
          <cell r="E642" t="str">
            <v>1000 ML</v>
          </cell>
          <cell r="F642">
            <v>413</v>
          </cell>
          <cell r="G642">
            <v>5</v>
          </cell>
          <cell r="H642">
            <v>20.650000000000002</v>
          </cell>
          <cell r="I642">
            <v>433.65</v>
          </cell>
        </row>
        <row r="643">
          <cell r="B643" t="str">
            <v>Agastya</v>
          </cell>
          <cell r="C643" t="str">
            <v>Growth Promoter</v>
          </cell>
          <cell r="D643" t="str">
            <v>Victor</v>
          </cell>
          <cell r="E643" t="str">
            <v>500 GMS</v>
          </cell>
          <cell r="F643">
            <v>214</v>
          </cell>
          <cell r="G643">
            <v>5</v>
          </cell>
          <cell r="H643">
            <v>10.700000000000001</v>
          </cell>
          <cell r="I643">
            <v>224.7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ble 1"/>
      <sheetName val="Table 2"/>
      <sheetName val="Dump"/>
      <sheetName val="Working"/>
      <sheetName val="PriceList"/>
    </sheetNames>
    <sheetDataSet>
      <sheetData sheetId="0"/>
      <sheetData sheetId="1"/>
      <sheetData sheetId="2"/>
      <sheetData sheetId="3"/>
      <sheetData sheetId="4">
        <row r="1">
          <cell r="B1" t="str">
            <v>Company</v>
          </cell>
          <cell r="C1" t="str">
            <v>Technical</v>
          </cell>
          <cell r="D1" t="str">
            <v>Product Name</v>
          </cell>
          <cell r="E1" t="str">
            <v>Packing</v>
          </cell>
          <cell r="F1" t="str">
            <v>Unit Price</v>
          </cell>
          <cell r="G1" t="str">
            <v>GST %</v>
          </cell>
          <cell r="H1" t="str">
            <v>GST</v>
          </cell>
          <cell r="I1" t="str">
            <v>Price wt GST</v>
          </cell>
        </row>
        <row r="2">
          <cell r="B2" t="str">
            <v>Nakasa</v>
          </cell>
          <cell r="C2" t="str">
            <v>Alpha Cypermethrin 10% EC</v>
          </cell>
          <cell r="D2" t="str">
            <v>Arizona</v>
          </cell>
          <cell r="E2" t="str">
            <v>100 ML</v>
          </cell>
          <cell r="F2">
            <v>68</v>
          </cell>
          <cell r="G2">
            <v>18</v>
          </cell>
          <cell r="H2">
            <v>12.24</v>
          </cell>
          <cell r="I2">
            <v>80.239999999999995</v>
          </cell>
        </row>
        <row r="3">
          <cell r="B3" t="str">
            <v>Nakasa</v>
          </cell>
          <cell r="C3" t="str">
            <v>Alpha Cypermethrin 10% EC</v>
          </cell>
          <cell r="D3" t="str">
            <v>Arizona</v>
          </cell>
          <cell r="E3" t="str">
            <v>250 ML</v>
          </cell>
          <cell r="F3">
            <v>131</v>
          </cell>
          <cell r="G3">
            <v>18</v>
          </cell>
          <cell r="H3">
            <v>23.58</v>
          </cell>
          <cell r="I3">
            <v>154.57999999999998</v>
          </cell>
        </row>
        <row r="4">
          <cell r="B4" t="str">
            <v>Nakasa</v>
          </cell>
          <cell r="C4" t="str">
            <v>Alpha Cypermethrin 10% EC</v>
          </cell>
          <cell r="D4" t="str">
            <v>Arizona</v>
          </cell>
          <cell r="E4" t="str">
            <v>500 ML</v>
          </cell>
          <cell r="F4">
            <v>239</v>
          </cell>
          <cell r="G4">
            <v>18</v>
          </cell>
          <cell r="H4">
            <v>43.019999999999996</v>
          </cell>
          <cell r="I4">
            <v>282.02</v>
          </cell>
        </row>
        <row r="5">
          <cell r="B5" t="str">
            <v>Nakasa</v>
          </cell>
          <cell r="C5" t="str">
            <v>Alpha Cypermethrin 10% EC</v>
          </cell>
          <cell r="D5" t="str">
            <v>Arizona</v>
          </cell>
          <cell r="E5" t="str">
            <v>1000 ML</v>
          </cell>
          <cell r="F5">
            <v>446</v>
          </cell>
          <cell r="G5">
            <v>18</v>
          </cell>
          <cell r="H5">
            <v>80.28</v>
          </cell>
          <cell r="I5">
            <v>526.28</v>
          </cell>
        </row>
        <row r="6">
          <cell r="B6" t="str">
            <v>Nakasa</v>
          </cell>
          <cell r="C6" t="str">
            <v>Alpha Cypermethrin 10% EC</v>
          </cell>
          <cell r="D6" t="str">
            <v>Arizona</v>
          </cell>
          <cell r="E6" t="str">
            <v>5000 ML</v>
          </cell>
          <cell r="F6">
            <v>2066</v>
          </cell>
          <cell r="G6">
            <v>18</v>
          </cell>
          <cell r="H6">
            <v>371.88</v>
          </cell>
          <cell r="I6">
            <v>2437.88</v>
          </cell>
        </row>
        <row r="7">
          <cell r="B7" t="str">
            <v>Nakasa</v>
          </cell>
          <cell r="C7" t="str">
            <v>Bifenthrin 10% EC</v>
          </cell>
          <cell r="D7" t="str">
            <v>Garima</v>
          </cell>
          <cell r="E7" t="str">
            <v>100 ML</v>
          </cell>
          <cell r="F7">
            <v>77</v>
          </cell>
          <cell r="G7">
            <v>18</v>
          </cell>
          <cell r="H7">
            <v>13.86</v>
          </cell>
          <cell r="I7">
            <v>90.86</v>
          </cell>
        </row>
        <row r="8">
          <cell r="B8" t="str">
            <v>Nakasa</v>
          </cell>
          <cell r="C8" t="str">
            <v>Bifenthrin 10% EC</v>
          </cell>
          <cell r="D8" t="str">
            <v>Garima</v>
          </cell>
          <cell r="E8" t="str">
            <v>250 ML</v>
          </cell>
          <cell r="F8">
            <v>162</v>
          </cell>
          <cell r="G8">
            <v>18</v>
          </cell>
          <cell r="H8">
            <v>29.16</v>
          </cell>
          <cell r="I8">
            <v>191.16</v>
          </cell>
        </row>
        <row r="9">
          <cell r="B9" t="str">
            <v>Nakasa</v>
          </cell>
          <cell r="C9" t="str">
            <v>Bifenthrin 10% EC</v>
          </cell>
          <cell r="D9" t="str">
            <v>Garima</v>
          </cell>
          <cell r="E9" t="str">
            <v>500 ML</v>
          </cell>
          <cell r="F9">
            <v>288</v>
          </cell>
          <cell r="G9">
            <v>18</v>
          </cell>
          <cell r="H9">
            <v>51.839999999999996</v>
          </cell>
          <cell r="I9">
            <v>339.84</v>
          </cell>
        </row>
        <row r="10">
          <cell r="B10" t="str">
            <v>Nakasa</v>
          </cell>
          <cell r="C10" t="str">
            <v>Bifenthrin 10% EC</v>
          </cell>
          <cell r="D10" t="str">
            <v>Garima</v>
          </cell>
          <cell r="E10" t="str">
            <v>1000 ML</v>
          </cell>
          <cell r="F10">
            <v>558</v>
          </cell>
          <cell r="G10">
            <v>18</v>
          </cell>
          <cell r="H10">
            <v>100.44</v>
          </cell>
          <cell r="I10">
            <v>658.44</v>
          </cell>
        </row>
        <row r="11">
          <cell r="B11" t="str">
            <v>Nakasa</v>
          </cell>
          <cell r="C11" t="str">
            <v>Thiamethoxam 25% WG</v>
          </cell>
          <cell r="D11" t="str">
            <v>Adhira</v>
          </cell>
          <cell r="E11" t="str">
            <v>20 GMS</v>
          </cell>
          <cell r="F11">
            <v>43</v>
          </cell>
          <cell r="G11">
            <v>18</v>
          </cell>
          <cell r="H11">
            <v>7.7399999999999993</v>
          </cell>
          <cell r="I11">
            <v>50.74</v>
          </cell>
        </row>
        <row r="12">
          <cell r="B12" t="str">
            <v>Nakasa</v>
          </cell>
          <cell r="C12" t="str">
            <v>Thiamethoxam 25% WG</v>
          </cell>
          <cell r="D12" t="str">
            <v>Adhira</v>
          </cell>
          <cell r="E12" t="str">
            <v>100 GMS</v>
          </cell>
          <cell r="F12">
            <v>95</v>
          </cell>
          <cell r="G12">
            <v>18</v>
          </cell>
          <cell r="H12">
            <v>17.099999999999998</v>
          </cell>
          <cell r="I12">
            <v>112.1</v>
          </cell>
        </row>
        <row r="13">
          <cell r="B13" t="str">
            <v>Nakasa</v>
          </cell>
          <cell r="C13" t="str">
            <v>Thiamethoxam 25% WG</v>
          </cell>
          <cell r="D13" t="str">
            <v>Adhira</v>
          </cell>
          <cell r="E13" t="str">
            <v>250 GMS</v>
          </cell>
          <cell r="F13">
            <v>185</v>
          </cell>
          <cell r="G13">
            <v>18</v>
          </cell>
          <cell r="H13">
            <v>33.299999999999997</v>
          </cell>
          <cell r="I13">
            <v>218.3</v>
          </cell>
        </row>
        <row r="14">
          <cell r="B14" t="str">
            <v>Nakasa</v>
          </cell>
          <cell r="C14" t="str">
            <v>Thiamethoxam 25% WG</v>
          </cell>
          <cell r="D14" t="str">
            <v>Adhira</v>
          </cell>
          <cell r="E14" t="str">
            <v>500 GMS</v>
          </cell>
          <cell r="F14">
            <v>320</v>
          </cell>
          <cell r="G14">
            <v>18</v>
          </cell>
          <cell r="H14">
            <v>57.599999999999994</v>
          </cell>
          <cell r="I14">
            <v>377.6</v>
          </cell>
        </row>
        <row r="15">
          <cell r="B15" t="str">
            <v>Nakasa</v>
          </cell>
          <cell r="C15" t="str">
            <v>Thiamethoxam 25% WG</v>
          </cell>
          <cell r="D15" t="str">
            <v>Adhira</v>
          </cell>
          <cell r="E15" t="str">
            <v>1000 GMS</v>
          </cell>
          <cell r="F15">
            <v>594</v>
          </cell>
          <cell r="G15">
            <v>18</v>
          </cell>
          <cell r="H15">
            <v>106.92</v>
          </cell>
          <cell r="I15">
            <v>700.92</v>
          </cell>
        </row>
        <row r="16">
          <cell r="B16" t="str">
            <v>Nakasa</v>
          </cell>
          <cell r="C16" t="str">
            <v>Thiamethoxam 75% SG</v>
          </cell>
          <cell r="D16" t="str">
            <v>Super Adhira</v>
          </cell>
          <cell r="E16" t="str">
            <v>25 GMS</v>
          </cell>
          <cell r="F16">
            <v>64</v>
          </cell>
          <cell r="G16">
            <v>18</v>
          </cell>
          <cell r="H16">
            <v>11.52</v>
          </cell>
          <cell r="I16">
            <v>75.52</v>
          </cell>
        </row>
        <row r="17">
          <cell r="B17" t="str">
            <v>Nakasa</v>
          </cell>
          <cell r="C17" t="str">
            <v>Thiamethoxam 75% SG</v>
          </cell>
          <cell r="D17" t="str">
            <v>Super Adhira</v>
          </cell>
          <cell r="E17" t="str">
            <v>50 GMS</v>
          </cell>
          <cell r="F17">
            <v>94</v>
          </cell>
          <cell r="G17">
            <v>18</v>
          </cell>
          <cell r="H17">
            <v>16.919999999999998</v>
          </cell>
          <cell r="I17">
            <v>110.92</v>
          </cell>
        </row>
        <row r="18">
          <cell r="B18" t="str">
            <v>Nakasa</v>
          </cell>
          <cell r="C18" t="str">
            <v>Thiamethoxam 75% SG</v>
          </cell>
          <cell r="D18" t="str">
            <v>Super Adhira</v>
          </cell>
          <cell r="E18" t="str">
            <v>125 GMS</v>
          </cell>
          <cell r="F18">
            <v>196</v>
          </cell>
          <cell r="G18">
            <v>18</v>
          </cell>
          <cell r="H18">
            <v>35.28</v>
          </cell>
          <cell r="I18">
            <v>231.28</v>
          </cell>
        </row>
        <row r="19">
          <cell r="B19" t="str">
            <v>Nakasa</v>
          </cell>
          <cell r="C19" t="str">
            <v>Thiamethoxam 75% SG</v>
          </cell>
          <cell r="D19" t="str">
            <v>Super Adhira</v>
          </cell>
          <cell r="E19" t="str">
            <v>250 GMS</v>
          </cell>
          <cell r="F19">
            <v>361</v>
          </cell>
          <cell r="G19">
            <v>18</v>
          </cell>
          <cell r="H19">
            <v>64.98</v>
          </cell>
          <cell r="I19">
            <v>425.98</v>
          </cell>
        </row>
        <row r="20">
          <cell r="B20" t="str">
            <v>Nakasa</v>
          </cell>
          <cell r="C20" t="str">
            <v>Thiamethoxam 75% SG</v>
          </cell>
          <cell r="D20" t="str">
            <v>Super Adhira</v>
          </cell>
          <cell r="E20" t="str">
            <v>500 GMS</v>
          </cell>
          <cell r="F20">
            <v>680</v>
          </cell>
          <cell r="G20">
            <v>18</v>
          </cell>
          <cell r="H20">
            <v>122.39999999999999</v>
          </cell>
          <cell r="I20">
            <v>802.4</v>
          </cell>
        </row>
        <row r="21">
          <cell r="B21" t="str">
            <v>Nakasa</v>
          </cell>
          <cell r="C21" t="str">
            <v>Imidacloprid 17.8% SL</v>
          </cell>
          <cell r="D21" t="str">
            <v>Nidas</v>
          </cell>
          <cell r="E21" t="str">
            <v>100 ML</v>
          </cell>
          <cell r="F21">
            <v>92</v>
          </cell>
          <cell r="G21">
            <v>18</v>
          </cell>
          <cell r="H21">
            <v>16.559999999999999</v>
          </cell>
          <cell r="I21">
            <v>108.56</v>
          </cell>
        </row>
        <row r="22">
          <cell r="B22" t="str">
            <v>Nakasa</v>
          </cell>
          <cell r="C22" t="str">
            <v>Imidacloprid 17.8% SL</v>
          </cell>
          <cell r="D22" t="str">
            <v>Nidas</v>
          </cell>
          <cell r="E22" t="str">
            <v>250 ML</v>
          </cell>
          <cell r="F22">
            <v>204</v>
          </cell>
          <cell r="G22">
            <v>18</v>
          </cell>
          <cell r="H22">
            <v>36.72</v>
          </cell>
          <cell r="I22">
            <v>240.72</v>
          </cell>
        </row>
        <row r="23">
          <cell r="B23" t="str">
            <v>Nakasa</v>
          </cell>
          <cell r="C23" t="str">
            <v>Imidacloprid 17.8% SL</v>
          </cell>
          <cell r="D23" t="str">
            <v>Nidas</v>
          </cell>
          <cell r="E23" t="str">
            <v>500 ML</v>
          </cell>
          <cell r="F23">
            <v>374</v>
          </cell>
          <cell r="G23">
            <v>18</v>
          </cell>
          <cell r="H23">
            <v>67.319999999999993</v>
          </cell>
          <cell r="I23">
            <v>441.32</v>
          </cell>
        </row>
        <row r="24">
          <cell r="B24" t="str">
            <v>Nakasa</v>
          </cell>
          <cell r="C24" t="str">
            <v>Imidacloprid 17.8% SL</v>
          </cell>
          <cell r="D24" t="str">
            <v>Nidas</v>
          </cell>
          <cell r="E24" t="str">
            <v>1000 ML</v>
          </cell>
          <cell r="F24">
            <v>723</v>
          </cell>
          <cell r="G24">
            <v>18</v>
          </cell>
          <cell r="H24">
            <v>130.13999999999999</v>
          </cell>
          <cell r="I24">
            <v>853.14</v>
          </cell>
        </row>
        <row r="25">
          <cell r="B25" t="str">
            <v>Nakasa</v>
          </cell>
          <cell r="C25" t="str">
            <v xml:space="preserve">Imidacloprid 30.5% SC </v>
          </cell>
          <cell r="D25" t="str">
            <v>Super Nidas</v>
          </cell>
          <cell r="E25" t="str">
            <v>100 ML</v>
          </cell>
          <cell r="F25">
            <v>126</v>
          </cell>
          <cell r="G25">
            <v>18</v>
          </cell>
          <cell r="H25">
            <v>22.68</v>
          </cell>
          <cell r="I25">
            <v>148.68</v>
          </cell>
        </row>
        <row r="26">
          <cell r="B26" t="str">
            <v>Nakasa</v>
          </cell>
          <cell r="C26" t="str">
            <v xml:space="preserve">Imidacloprid 30.5% SC </v>
          </cell>
          <cell r="D26" t="str">
            <v>Super Nidas</v>
          </cell>
          <cell r="E26" t="str">
            <v>250 ML</v>
          </cell>
          <cell r="F26">
            <v>270</v>
          </cell>
          <cell r="G26">
            <v>18</v>
          </cell>
          <cell r="H26">
            <v>48.6</v>
          </cell>
          <cell r="I26">
            <v>318.60000000000002</v>
          </cell>
        </row>
        <row r="27">
          <cell r="B27" t="str">
            <v>Nakasa</v>
          </cell>
          <cell r="C27" t="str">
            <v xml:space="preserve">Imidacloprid 30.5% SC </v>
          </cell>
          <cell r="D27" t="str">
            <v>Super Nidas</v>
          </cell>
          <cell r="E27" t="str">
            <v>500 ML</v>
          </cell>
          <cell r="F27">
            <v>518</v>
          </cell>
          <cell r="G27">
            <v>18</v>
          </cell>
          <cell r="H27">
            <v>93.24</v>
          </cell>
          <cell r="I27">
            <v>611.24</v>
          </cell>
        </row>
        <row r="28">
          <cell r="B28" t="str">
            <v>Nakasa</v>
          </cell>
          <cell r="C28" t="str">
            <v xml:space="preserve">Imidacloprid 30.5% SC </v>
          </cell>
          <cell r="D28" t="str">
            <v>Super Nidas</v>
          </cell>
          <cell r="E28" t="str">
            <v>1000 ML</v>
          </cell>
          <cell r="F28">
            <v>968</v>
          </cell>
          <cell r="G28">
            <v>18</v>
          </cell>
          <cell r="H28">
            <v>174.23999999999998</v>
          </cell>
          <cell r="I28">
            <v>1142.24</v>
          </cell>
        </row>
        <row r="29">
          <cell r="B29" t="str">
            <v>Nakasa</v>
          </cell>
          <cell r="C29" t="str">
            <v>Imidacloprid 70% WG</v>
          </cell>
          <cell r="D29" t="str">
            <v>Amaira Super</v>
          </cell>
          <cell r="E29" t="str">
            <v>30 GMS</v>
          </cell>
          <cell r="F29">
            <v>99</v>
          </cell>
          <cell r="G29">
            <v>18</v>
          </cell>
          <cell r="H29">
            <v>17.82</v>
          </cell>
          <cell r="I29">
            <v>116.82</v>
          </cell>
        </row>
        <row r="30">
          <cell r="B30" t="str">
            <v>Nakasa</v>
          </cell>
          <cell r="C30" t="str">
            <v>Imidacloprid 70% WG</v>
          </cell>
          <cell r="D30" t="str">
            <v>Amaira Super</v>
          </cell>
          <cell r="E30" t="str">
            <v>75 GMS</v>
          </cell>
          <cell r="F30">
            <v>198</v>
          </cell>
          <cell r="G30">
            <v>18</v>
          </cell>
          <cell r="H30">
            <v>35.64</v>
          </cell>
          <cell r="I30">
            <v>233.64</v>
          </cell>
        </row>
        <row r="31">
          <cell r="B31" t="str">
            <v>Nakasa</v>
          </cell>
          <cell r="C31" t="str">
            <v>Imidacloprid 70% WG</v>
          </cell>
          <cell r="D31" t="str">
            <v>Amaira Super</v>
          </cell>
          <cell r="E31" t="str">
            <v>150 GMS</v>
          </cell>
          <cell r="F31">
            <v>378</v>
          </cell>
          <cell r="G31">
            <v>18</v>
          </cell>
          <cell r="H31">
            <v>68.039999999999992</v>
          </cell>
          <cell r="I31">
            <v>446.03999999999996</v>
          </cell>
        </row>
        <row r="32">
          <cell r="B32" t="str">
            <v>Nakasa</v>
          </cell>
          <cell r="C32" t="str">
            <v>Diafenthiuron 50% WP</v>
          </cell>
          <cell r="D32" t="str">
            <v>Jasinda</v>
          </cell>
          <cell r="E32" t="str">
            <v>250 GMS</v>
          </cell>
          <cell r="F32">
            <v>385</v>
          </cell>
          <cell r="G32">
            <v>18</v>
          </cell>
          <cell r="H32">
            <v>69.3</v>
          </cell>
          <cell r="I32">
            <v>454.3</v>
          </cell>
        </row>
        <row r="33">
          <cell r="B33" t="str">
            <v>Nakasa</v>
          </cell>
          <cell r="C33" t="str">
            <v>Diafenthiuron 50% WP</v>
          </cell>
          <cell r="D33" t="str">
            <v>Jasinda</v>
          </cell>
          <cell r="E33" t="str">
            <v>500 GMS</v>
          </cell>
          <cell r="F33">
            <v>751</v>
          </cell>
          <cell r="G33">
            <v>18</v>
          </cell>
          <cell r="H33">
            <v>135.18</v>
          </cell>
          <cell r="I33">
            <v>886.18000000000006</v>
          </cell>
        </row>
        <row r="34">
          <cell r="B34" t="str">
            <v>Nakasa</v>
          </cell>
          <cell r="C34" t="str">
            <v>Diafenthiuron 50% WP</v>
          </cell>
          <cell r="D34" t="str">
            <v>Jasinda</v>
          </cell>
          <cell r="E34" t="str">
            <v>100 GMS</v>
          </cell>
          <cell r="F34">
            <v>141</v>
          </cell>
          <cell r="G34">
            <v>18</v>
          </cell>
          <cell r="H34">
            <v>25.38</v>
          </cell>
          <cell r="I34">
            <v>166.38</v>
          </cell>
        </row>
        <row r="35">
          <cell r="B35" t="str">
            <v>Nakasa</v>
          </cell>
          <cell r="C35" t="str">
            <v>Diafenthiuron 50% WP</v>
          </cell>
          <cell r="D35" t="str">
            <v>Jasinda</v>
          </cell>
          <cell r="E35" t="str">
            <v>250 GMS</v>
          </cell>
          <cell r="F35">
            <v>328</v>
          </cell>
          <cell r="G35">
            <v>18</v>
          </cell>
          <cell r="H35">
            <v>59.04</v>
          </cell>
          <cell r="I35">
            <v>387.04</v>
          </cell>
        </row>
        <row r="36">
          <cell r="B36" t="str">
            <v>Nakasa</v>
          </cell>
          <cell r="C36" t="str">
            <v>Diafenthiuron 50% WP</v>
          </cell>
          <cell r="D36" t="str">
            <v>Jasinda</v>
          </cell>
          <cell r="E36" t="str">
            <v>500 GMS</v>
          </cell>
          <cell r="F36">
            <v>618</v>
          </cell>
          <cell r="G36">
            <v>18</v>
          </cell>
          <cell r="H36">
            <v>111.24</v>
          </cell>
          <cell r="I36">
            <v>729.24</v>
          </cell>
        </row>
        <row r="37">
          <cell r="B37" t="str">
            <v>Nakasa</v>
          </cell>
          <cell r="C37" t="str">
            <v>Diafenthiuron 50% WP</v>
          </cell>
          <cell r="D37" t="str">
            <v>Jasinda</v>
          </cell>
          <cell r="E37" t="str">
            <v>1000 GMS</v>
          </cell>
          <cell r="F37">
            <v>1188</v>
          </cell>
          <cell r="G37">
            <v>18</v>
          </cell>
          <cell r="H37">
            <v>213.84</v>
          </cell>
          <cell r="I37">
            <v>1401.84</v>
          </cell>
        </row>
        <row r="38">
          <cell r="B38" t="str">
            <v>Nakasa</v>
          </cell>
          <cell r="C38" t="str">
            <v>Emamectin Benzoate 5% SG</v>
          </cell>
          <cell r="D38" t="str">
            <v>Ghandeev</v>
          </cell>
          <cell r="E38" t="str">
            <v>50 GMS</v>
          </cell>
          <cell r="F38">
            <v>70</v>
          </cell>
          <cell r="G38">
            <v>18</v>
          </cell>
          <cell r="H38">
            <v>12.6</v>
          </cell>
          <cell r="I38">
            <v>82.6</v>
          </cell>
        </row>
        <row r="39">
          <cell r="B39" t="str">
            <v>Nakasa</v>
          </cell>
          <cell r="C39" t="str">
            <v>Emamectin Benzoate 5% SG</v>
          </cell>
          <cell r="D39" t="str">
            <v>Ghandeev</v>
          </cell>
          <cell r="E39" t="str">
            <v>100 GMS</v>
          </cell>
          <cell r="F39">
            <v>124</v>
          </cell>
          <cell r="G39">
            <v>18</v>
          </cell>
          <cell r="H39">
            <v>22.32</v>
          </cell>
          <cell r="I39">
            <v>146.32</v>
          </cell>
        </row>
        <row r="40">
          <cell r="B40" t="str">
            <v>Nakasa</v>
          </cell>
          <cell r="C40" t="str">
            <v>Emamectin Benzoate 5% SG</v>
          </cell>
          <cell r="D40" t="str">
            <v>Ghandeev</v>
          </cell>
          <cell r="E40" t="str">
            <v>250 GMS</v>
          </cell>
          <cell r="F40">
            <v>278</v>
          </cell>
          <cell r="G40">
            <v>18</v>
          </cell>
          <cell r="H40">
            <v>50.04</v>
          </cell>
          <cell r="I40">
            <v>328.04</v>
          </cell>
        </row>
        <row r="41">
          <cell r="B41" t="str">
            <v>Nakasa</v>
          </cell>
          <cell r="C41" t="str">
            <v>Emamectin Benzoate 5% SG</v>
          </cell>
          <cell r="D41" t="str">
            <v>Ghandeev</v>
          </cell>
          <cell r="E41" t="str">
            <v>500 GMS</v>
          </cell>
          <cell r="F41">
            <v>525</v>
          </cell>
          <cell r="G41">
            <v>18</v>
          </cell>
          <cell r="H41">
            <v>94.5</v>
          </cell>
          <cell r="I41">
            <v>619.5</v>
          </cell>
        </row>
        <row r="42">
          <cell r="B42" t="str">
            <v>Nakasa</v>
          </cell>
          <cell r="C42" t="str">
            <v>Emamectin Benzoate 5% SG</v>
          </cell>
          <cell r="D42" t="str">
            <v>Ghandeev</v>
          </cell>
          <cell r="E42" t="str">
            <v>1000 GMS</v>
          </cell>
          <cell r="F42">
            <v>1013</v>
          </cell>
          <cell r="G42">
            <v>18</v>
          </cell>
          <cell r="H42">
            <v>182.34</v>
          </cell>
          <cell r="I42">
            <v>1195.3399999999999</v>
          </cell>
        </row>
        <row r="43">
          <cell r="B43" t="str">
            <v>Nakasa</v>
          </cell>
          <cell r="C43" t="str">
            <v>Emamectin Benzoate 1.9% EC</v>
          </cell>
          <cell r="D43" t="str">
            <v>Pashupatastra</v>
          </cell>
          <cell r="E43" t="str">
            <v>100 ML</v>
          </cell>
          <cell r="F43">
            <v>131</v>
          </cell>
          <cell r="G43">
            <v>18</v>
          </cell>
          <cell r="H43">
            <v>23.58</v>
          </cell>
          <cell r="I43">
            <v>154.57999999999998</v>
          </cell>
        </row>
        <row r="44">
          <cell r="B44" t="str">
            <v>Nakasa</v>
          </cell>
          <cell r="C44" t="str">
            <v>Emamectin Benzoate 1.9% EC</v>
          </cell>
          <cell r="D44" t="str">
            <v>Pashupatastra</v>
          </cell>
          <cell r="E44" t="str">
            <v>250 ML</v>
          </cell>
          <cell r="F44">
            <v>270</v>
          </cell>
          <cell r="G44">
            <v>18</v>
          </cell>
          <cell r="H44">
            <v>48.6</v>
          </cell>
          <cell r="I44">
            <v>318.60000000000002</v>
          </cell>
        </row>
        <row r="45">
          <cell r="B45" t="str">
            <v>Nakasa</v>
          </cell>
          <cell r="C45" t="str">
            <v>Emamectin Benzoate 1.9% EC</v>
          </cell>
          <cell r="D45" t="str">
            <v>Pashupatastra</v>
          </cell>
          <cell r="E45" t="str">
            <v>500 ML</v>
          </cell>
          <cell r="F45">
            <v>518</v>
          </cell>
          <cell r="G45">
            <v>18</v>
          </cell>
          <cell r="H45">
            <v>93.24</v>
          </cell>
          <cell r="I45">
            <v>611.24</v>
          </cell>
        </row>
        <row r="46">
          <cell r="B46" t="str">
            <v>Nakasa</v>
          </cell>
          <cell r="C46" t="str">
            <v>Emamectin Benzoate 1.9% EC</v>
          </cell>
          <cell r="D46" t="str">
            <v>Pashupatastra</v>
          </cell>
          <cell r="E46" t="str">
            <v>1000 ML</v>
          </cell>
          <cell r="F46">
            <v>990</v>
          </cell>
          <cell r="G46">
            <v>18</v>
          </cell>
          <cell r="H46">
            <v>178.2</v>
          </cell>
          <cell r="I46">
            <v>1168.2</v>
          </cell>
        </row>
        <row r="47">
          <cell r="B47" t="str">
            <v>Nakasa</v>
          </cell>
          <cell r="C47" t="str">
            <v>Chlorpyrifos 20% EC</v>
          </cell>
          <cell r="D47" t="str">
            <v>Naja 20 EC</v>
          </cell>
          <cell r="E47" t="str">
            <v>100 ML</v>
          </cell>
          <cell r="F47">
            <v>55</v>
          </cell>
          <cell r="G47">
            <v>18</v>
          </cell>
          <cell r="H47">
            <v>9.9</v>
          </cell>
          <cell r="I47">
            <v>64.900000000000006</v>
          </cell>
        </row>
        <row r="48">
          <cell r="B48" t="str">
            <v>Nakasa</v>
          </cell>
          <cell r="C48" t="str">
            <v>Chlorpyrifos 20% EC</v>
          </cell>
          <cell r="D48" t="str">
            <v>Naja 20 EC</v>
          </cell>
          <cell r="E48" t="str">
            <v>250 ML</v>
          </cell>
          <cell r="F48">
            <v>109</v>
          </cell>
          <cell r="G48">
            <v>18</v>
          </cell>
          <cell r="H48">
            <v>19.62</v>
          </cell>
          <cell r="I48">
            <v>128.62</v>
          </cell>
        </row>
        <row r="49">
          <cell r="B49" t="str">
            <v>Nakasa</v>
          </cell>
          <cell r="C49" t="str">
            <v>Chlorpyrifos 20% EC</v>
          </cell>
          <cell r="D49" t="str">
            <v>Naja 20 EC</v>
          </cell>
          <cell r="E49" t="str">
            <v>500 ML</v>
          </cell>
          <cell r="F49">
            <v>189</v>
          </cell>
          <cell r="G49">
            <v>18</v>
          </cell>
          <cell r="H49">
            <v>34.019999999999996</v>
          </cell>
          <cell r="I49">
            <v>223.01999999999998</v>
          </cell>
        </row>
        <row r="50">
          <cell r="B50" t="str">
            <v>Nakasa</v>
          </cell>
          <cell r="C50" t="str">
            <v>Chlorpyrifos 20% EC</v>
          </cell>
          <cell r="D50" t="str">
            <v>Naja 20 EC</v>
          </cell>
          <cell r="E50" t="str">
            <v>1000 ML</v>
          </cell>
          <cell r="F50">
            <v>347</v>
          </cell>
          <cell r="G50">
            <v>18</v>
          </cell>
          <cell r="H50">
            <v>62.46</v>
          </cell>
          <cell r="I50">
            <v>409.46</v>
          </cell>
        </row>
        <row r="51">
          <cell r="B51" t="str">
            <v>Nakasa</v>
          </cell>
          <cell r="C51" t="str">
            <v>Chlorpyrifos 20% EC</v>
          </cell>
          <cell r="D51" t="str">
            <v>Naja 20 EC</v>
          </cell>
          <cell r="E51" t="str">
            <v>5000 ML</v>
          </cell>
          <cell r="F51">
            <v>1686</v>
          </cell>
          <cell r="G51">
            <v>18</v>
          </cell>
          <cell r="H51">
            <v>303.47999999999996</v>
          </cell>
          <cell r="I51">
            <v>1989.48</v>
          </cell>
        </row>
        <row r="52">
          <cell r="B52" t="str">
            <v>Nakasa</v>
          </cell>
          <cell r="C52" t="str">
            <v>Chlorpyrifos 10% GR</v>
          </cell>
          <cell r="D52" t="str">
            <v>Naja 10 G</v>
          </cell>
          <cell r="E52" t="str">
            <v>1000 GMS</v>
          </cell>
          <cell r="F52">
            <v>113</v>
          </cell>
          <cell r="G52">
            <v>18</v>
          </cell>
          <cell r="H52">
            <v>20.34</v>
          </cell>
          <cell r="I52">
            <v>133.34</v>
          </cell>
        </row>
        <row r="53">
          <cell r="B53" t="str">
            <v>Nakasa</v>
          </cell>
          <cell r="C53" t="str">
            <v>Chlorpyrifos 10% GR</v>
          </cell>
          <cell r="D53" t="str">
            <v>Naja 10 G</v>
          </cell>
          <cell r="E53" t="str">
            <v>5000 GMS</v>
          </cell>
          <cell r="F53">
            <v>518</v>
          </cell>
          <cell r="G53">
            <v>18</v>
          </cell>
          <cell r="H53">
            <v>93.24</v>
          </cell>
          <cell r="I53">
            <v>611.24</v>
          </cell>
        </row>
        <row r="54">
          <cell r="B54" t="str">
            <v>Nakasa</v>
          </cell>
          <cell r="C54" t="str">
            <v>Chlorpyrifos 50% EC</v>
          </cell>
          <cell r="D54" t="str">
            <v>Nandaka</v>
          </cell>
          <cell r="E54" t="str">
            <v>100 ML</v>
          </cell>
          <cell r="F54">
            <v>88</v>
          </cell>
          <cell r="G54">
            <v>18</v>
          </cell>
          <cell r="H54">
            <v>15.84</v>
          </cell>
          <cell r="I54">
            <v>103.84</v>
          </cell>
        </row>
        <row r="55">
          <cell r="B55" t="str">
            <v>Nakasa</v>
          </cell>
          <cell r="C55" t="str">
            <v>Chlorpyrifos 50% EC</v>
          </cell>
          <cell r="D55" t="str">
            <v>Nandaka</v>
          </cell>
          <cell r="E55" t="str">
            <v>250 ML</v>
          </cell>
          <cell r="F55">
            <v>176</v>
          </cell>
          <cell r="G55">
            <v>18</v>
          </cell>
          <cell r="H55">
            <v>31.68</v>
          </cell>
          <cell r="I55">
            <v>207.68</v>
          </cell>
        </row>
        <row r="56">
          <cell r="B56" t="str">
            <v>Nakasa</v>
          </cell>
          <cell r="C56" t="str">
            <v>Chlorpyrifos 50% EC</v>
          </cell>
          <cell r="D56" t="str">
            <v>Nandaka</v>
          </cell>
          <cell r="E56" t="str">
            <v>500 ML</v>
          </cell>
          <cell r="F56">
            <v>324</v>
          </cell>
          <cell r="G56">
            <v>18</v>
          </cell>
          <cell r="H56">
            <v>58.32</v>
          </cell>
          <cell r="I56">
            <v>382.32</v>
          </cell>
        </row>
        <row r="57">
          <cell r="B57" t="str">
            <v>Nakasa</v>
          </cell>
          <cell r="C57" t="str">
            <v>Chlorpyrifos 50% EC</v>
          </cell>
          <cell r="D57" t="str">
            <v>Nandaka</v>
          </cell>
          <cell r="E57" t="str">
            <v>1000 ML</v>
          </cell>
          <cell r="F57">
            <v>626</v>
          </cell>
          <cell r="G57">
            <v>18</v>
          </cell>
          <cell r="H57">
            <v>112.67999999999999</v>
          </cell>
          <cell r="I57">
            <v>738.68</v>
          </cell>
        </row>
        <row r="58">
          <cell r="B58" t="str">
            <v>Nakasa</v>
          </cell>
          <cell r="C58" t="str">
            <v>Chlorpyrifos 50% EC</v>
          </cell>
          <cell r="D58" t="str">
            <v>Nandaka</v>
          </cell>
          <cell r="E58" t="str">
            <v>5000 ML</v>
          </cell>
          <cell r="F58">
            <v>3083</v>
          </cell>
          <cell r="G58">
            <v>18</v>
          </cell>
          <cell r="H58">
            <v>554.93999999999994</v>
          </cell>
          <cell r="I58">
            <v>3637.94</v>
          </cell>
        </row>
        <row r="59">
          <cell r="B59" t="str">
            <v>Nakasa</v>
          </cell>
          <cell r="C59" t="str">
            <v>Fipronil 5% SC</v>
          </cell>
          <cell r="D59" t="str">
            <v>Parashu</v>
          </cell>
          <cell r="E59" t="str">
            <v>100 ML</v>
          </cell>
          <cell r="F59">
            <v>81</v>
          </cell>
          <cell r="G59">
            <v>18</v>
          </cell>
          <cell r="H59">
            <v>14.58</v>
          </cell>
          <cell r="I59">
            <v>95.58</v>
          </cell>
        </row>
        <row r="60">
          <cell r="B60" t="str">
            <v>Nakasa</v>
          </cell>
          <cell r="C60" t="str">
            <v>Fipronil 5% SC</v>
          </cell>
          <cell r="D60" t="str">
            <v>Parashu</v>
          </cell>
          <cell r="E60" t="str">
            <v>250 ML</v>
          </cell>
          <cell r="F60">
            <v>171</v>
          </cell>
          <cell r="G60">
            <v>18</v>
          </cell>
          <cell r="H60">
            <v>30.779999999999998</v>
          </cell>
          <cell r="I60">
            <v>201.78</v>
          </cell>
        </row>
        <row r="61">
          <cell r="B61" t="str">
            <v>Nakasa</v>
          </cell>
          <cell r="C61" t="str">
            <v>Fipronil 5% SC</v>
          </cell>
          <cell r="D61" t="str">
            <v>Parashu</v>
          </cell>
          <cell r="E61" t="str">
            <v>500 ML</v>
          </cell>
          <cell r="F61">
            <v>309</v>
          </cell>
          <cell r="G61">
            <v>18</v>
          </cell>
          <cell r="H61">
            <v>55.62</v>
          </cell>
          <cell r="I61">
            <v>364.62</v>
          </cell>
        </row>
        <row r="62">
          <cell r="B62" t="str">
            <v>Nakasa</v>
          </cell>
          <cell r="C62" t="str">
            <v>Fipronil 5% SC</v>
          </cell>
          <cell r="D62" t="str">
            <v>Parashu</v>
          </cell>
          <cell r="E62" t="str">
            <v>1000 ML</v>
          </cell>
          <cell r="F62">
            <v>594</v>
          </cell>
          <cell r="G62">
            <v>18</v>
          </cell>
          <cell r="H62">
            <v>106.92</v>
          </cell>
          <cell r="I62">
            <v>700.92</v>
          </cell>
        </row>
        <row r="63">
          <cell r="B63" t="str">
            <v>Nakasa</v>
          </cell>
          <cell r="C63" t="str">
            <v>Fipronil 80% WG</v>
          </cell>
          <cell r="D63" t="str">
            <v>Parashu Strong</v>
          </cell>
          <cell r="E63" t="str">
            <v>20 GMS</v>
          </cell>
          <cell r="F63">
            <v>180</v>
          </cell>
          <cell r="G63">
            <v>18</v>
          </cell>
          <cell r="H63">
            <v>32.4</v>
          </cell>
          <cell r="I63">
            <v>212.4</v>
          </cell>
        </row>
        <row r="64">
          <cell r="B64" t="str">
            <v>Nakasa</v>
          </cell>
          <cell r="C64" t="str">
            <v>Fipronil 80% WG</v>
          </cell>
          <cell r="D64" t="str">
            <v>Parashu Strong</v>
          </cell>
          <cell r="E64" t="str">
            <v>40 GMS</v>
          </cell>
          <cell r="F64">
            <v>328</v>
          </cell>
          <cell r="G64">
            <v>18</v>
          </cell>
          <cell r="H64">
            <v>59.04</v>
          </cell>
          <cell r="I64">
            <v>387.04</v>
          </cell>
        </row>
        <row r="65">
          <cell r="B65" t="str">
            <v>Nakasa</v>
          </cell>
          <cell r="C65" t="str">
            <v>Fipronil 80% WG</v>
          </cell>
          <cell r="D65" t="str">
            <v>Parashu Strong</v>
          </cell>
          <cell r="E65" t="str">
            <v>100 GMS</v>
          </cell>
          <cell r="F65">
            <v>800</v>
          </cell>
          <cell r="G65">
            <v>18</v>
          </cell>
          <cell r="H65">
            <v>144</v>
          </cell>
          <cell r="I65">
            <v>944</v>
          </cell>
        </row>
        <row r="66">
          <cell r="B66" t="str">
            <v>Nakasa</v>
          </cell>
          <cell r="C66" t="str">
            <v>Ethion 50% EC</v>
          </cell>
          <cell r="D66" t="str">
            <v>Pit</v>
          </cell>
          <cell r="E66" t="str">
            <v>250 ML</v>
          </cell>
          <cell r="F66">
            <v>188</v>
          </cell>
          <cell r="G66">
            <v>18</v>
          </cell>
          <cell r="H66">
            <v>33.839999999999996</v>
          </cell>
          <cell r="I66">
            <v>221.84</v>
          </cell>
        </row>
        <row r="67">
          <cell r="B67" t="str">
            <v>Nakasa</v>
          </cell>
          <cell r="C67" t="str">
            <v>Ethion 50% EC</v>
          </cell>
          <cell r="D67" t="str">
            <v>Pit</v>
          </cell>
          <cell r="E67" t="str">
            <v>500 ML</v>
          </cell>
          <cell r="F67">
            <v>356</v>
          </cell>
          <cell r="G67">
            <v>18</v>
          </cell>
          <cell r="H67">
            <v>64.08</v>
          </cell>
          <cell r="I67">
            <v>420.08</v>
          </cell>
        </row>
        <row r="68">
          <cell r="B68" t="str">
            <v>Nakasa</v>
          </cell>
          <cell r="C68" t="str">
            <v>Ethion 50% EC</v>
          </cell>
          <cell r="D68" t="str">
            <v>Pit</v>
          </cell>
          <cell r="E68" t="str">
            <v>1000 ML</v>
          </cell>
          <cell r="F68">
            <v>684</v>
          </cell>
          <cell r="G68">
            <v>18</v>
          </cell>
          <cell r="H68">
            <v>123.11999999999999</v>
          </cell>
          <cell r="I68">
            <v>807.12</v>
          </cell>
        </row>
        <row r="69">
          <cell r="B69" t="str">
            <v>Nakasa</v>
          </cell>
          <cell r="C69" t="str">
            <v>Dimethoate 30% EC</v>
          </cell>
          <cell r="D69" t="str">
            <v>Rigour</v>
          </cell>
          <cell r="E69" t="str">
            <v>100 ML</v>
          </cell>
          <cell r="F69">
            <v>69</v>
          </cell>
          <cell r="G69">
            <v>18</v>
          </cell>
          <cell r="H69">
            <v>12.42</v>
          </cell>
          <cell r="I69">
            <v>81.42</v>
          </cell>
        </row>
        <row r="70">
          <cell r="B70" t="str">
            <v>Nakasa</v>
          </cell>
          <cell r="C70" t="str">
            <v>Dimethoate 30% EC</v>
          </cell>
          <cell r="D70" t="str">
            <v>Rigour</v>
          </cell>
          <cell r="E70" t="str">
            <v>250 ML</v>
          </cell>
          <cell r="F70">
            <v>147</v>
          </cell>
          <cell r="G70">
            <v>18</v>
          </cell>
          <cell r="H70">
            <v>26.459999999999997</v>
          </cell>
          <cell r="I70">
            <v>173.46</v>
          </cell>
        </row>
        <row r="71">
          <cell r="B71" t="str">
            <v>Nakasa</v>
          </cell>
          <cell r="C71" t="str">
            <v>Dimethoate 30% EC</v>
          </cell>
          <cell r="D71" t="str">
            <v>Rigour</v>
          </cell>
          <cell r="E71" t="str">
            <v>500 ML</v>
          </cell>
          <cell r="F71">
            <v>267</v>
          </cell>
          <cell r="G71">
            <v>18</v>
          </cell>
          <cell r="H71">
            <v>48.059999999999995</v>
          </cell>
          <cell r="I71">
            <v>315.06</v>
          </cell>
        </row>
        <row r="72">
          <cell r="B72" t="str">
            <v>Nakasa</v>
          </cell>
          <cell r="C72" t="str">
            <v>Dimethoate 30% EC</v>
          </cell>
          <cell r="D72" t="str">
            <v>Rigour</v>
          </cell>
          <cell r="E72" t="str">
            <v>1000 ML</v>
          </cell>
          <cell r="F72">
            <v>509</v>
          </cell>
          <cell r="G72">
            <v>18</v>
          </cell>
          <cell r="H72">
            <v>91.61999999999999</v>
          </cell>
          <cell r="I72">
            <v>600.62</v>
          </cell>
        </row>
        <row r="73">
          <cell r="B73" t="str">
            <v>Nakasa</v>
          </cell>
          <cell r="C73" t="str">
            <v>Acetamiprid 20% SP</v>
          </cell>
          <cell r="D73" t="str">
            <v>Romaunko</v>
          </cell>
          <cell r="E73" t="str">
            <v>50 GMS</v>
          </cell>
          <cell r="F73">
            <v>59</v>
          </cell>
          <cell r="G73">
            <v>18</v>
          </cell>
          <cell r="H73">
            <v>10.62</v>
          </cell>
          <cell r="I73">
            <v>69.62</v>
          </cell>
        </row>
        <row r="74">
          <cell r="B74" t="str">
            <v>Nakasa</v>
          </cell>
          <cell r="C74" t="str">
            <v>Acetamiprid 20% SP</v>
          </cell>
          <cell r="D74" t="str">
            <v>Romaunko</v>
          </cell>
          <cell r="E74" t="str">
            <v>100 GMS</v>
          </cell>
          <cell r="F74">
            <v>84</v>
          </cell>
          <cell r="G74">
            <v>18</v>
          </cell>
          <cell r="H74">
            <v>15.12</v>
          </cell>
          <cell r="I74">
            <v>99.12</v>
          </cell>
        </row>
        <row r="75">
          <cell r="B75" t="str">
            <v>Nakasa</v>
          </cell>
          <cell r="C75" t="str">
            <v>Acetamiprid 20% SP</v>
          </cell>
          <cell r="D75" t="str">
            <v>Romaunko</v>
          </cell>
          <cell r="E75" t="str">
            <v>250 GMS</v>
          </cell>
          <cell r="F75">
            <v>174</v>
          </cell>
          <cell r="G75">
            <v>18</v>
          </cell>
          <cell r="H75">
            <v>31.32</v>
          </cell>
          <cell r="I75">
            <v>205.32</v>
          </cell>
        </row>
        <row r="76">
          <cell r="B76" t="str">
            <v>Nakasa</v>
          </cell>
          <cell r="C76" t="str">
            <v>Acetamiprid 20% SP</v>
          </cell>
          <cell r="D76" t="str">
            <v>Romaunko</v>
          </cell>
          <cell r="E76" t="str">
            <v>500 GMS</v>
          </cell>
          <cell r="F76">
            <v>338</v>
          </cell>
          <cell r="G76">
            <v>18</v>
          </cell>
          <cell r="H76">
            <v>60.839999999999996</v>
          </cell>
          <cell r="I76">
            <v>398.84</v>
          </cell>
        </row>
        <row r="77">
          <cell r="B77" t="str">
            <v>Nakasa</v>
          </cell>
          <cell r="C77" t="str">
            <v xml:space="preserve">Cypermethrin 25% EC </v>
          </cell>
          <cell r="D77" t="str">
            <v>Saber</v>
          </cell>
          <cell r="E77" t="str">
            <v>100 ML</v>
          </cell>
          <cell r="F77">
            <v>68</v>
          </cell>
          <cell r="G77">
            <v>18</v>
          </cell>
          <cell r="H77">
            <v>12.24</v>
          </cell>
          <cell r="I77">
            <v>80.239999999999995</v>
          </cell>
        </row>
        <row r="78">
          <cell r="B78" t="str">
            <v>Nakasa</v>
          </cell>
          <cell r="C78" t="str">
            <v xml:space="preserve">Cypermethrin 25% EC </v>
          </cell>
          <cell r="D78" t="str">
            <v>Saber</v>
          </cell>
          <cell r="E78" t="str">
            <v>250 ML</v>
          </cell>
          <cell r="F78">
            <v>137</v>
          </cell>
          <cell r="G78">
            <v>18</v>
          </cell>
          <cell r="H78">
            <v>24.66</v>
          </cell>
          <cell r="I78">
            <v>161.66</v>
          </cell>
        </row>
        <row r="79">
          <cell r="B79" t="str">
            <v>Nakasa</v>
          </cell>
          <cell r="C79" t="str">
            <v xml:space="preserve">Cypermethrin 25% EC </v>
          </cell>
          <cell r="D79" t="str">
            <v>Saber</v>
          </cell>
          <cell r="E79" t="str">
            <v>500 ML</v>
          </cell>
          <cell r="F79">
            <v>245</v>
          </cell>
          <cell r="G79">
            <v>18</v>
          </cell>
          <cell r="H79">
            <v>44.1</v>
          </cell>
          <cell r="I79">
            <v>289.10000000000002</v>
          </cell>
        </row>
        <row r="80">
          <cell r="B80" t="str">
            <v>Nakasa</v>
          </cell>
          <cell r="C80" t="str">
            <v xml:space="preserve">Cypermethrin 25% EC </v>
          </cell>
          <cell r="D80" t="str">
            <v>Saber</v>
          </cell>
          <cell r="E80" t="str">
            <v>1000 ML</v>
          </cell>
          <cell r="F80">
            <v>475</v>
          </cell>
          <cell r="G80">
            <v>18</v>
          </cell>
          <cell r="H80">
            <v>85.5</v>
          </cell>
          <cell r="I80">
            <v>560.5</v>
          </cell>
        </row>
        <row r="81">
          <cell r="B81" t="str">
            <v>Nakasa</v>
          </cell>
          <cell r="C81" t="str">
            <v>Lambda Cyhalothrin 2.5% EC</v>
          </cell>
          <cell r="D81" t="str">
            <v>Combat</v>
          </cell>
          <cell r="E81" t="str">
            <v>250 ML</v>
          </cell>
          <cell r="F81">
            <v>92</v>
          </cell>
          <cell r="G81">
            <v>18</v>
          </cell>
          <cell r="H81">
            <v>16.559999999999999</v>
          </cell>
          <cell r="I81">
            <v>108.56</v>
          </cell>
        </row>
        <row r="82">
          <cell r="B82" t="str">
            <v>Nakasa</v>
          </cell>
          <cell r="C82" t="str">
            <v>Lambda Cyhalothrin 2.5% EC</v>
          </cell>
          <cell r="D82" t="str">
            <v>Combat</v>
          </cell>
          <cell r="E82" t="str">
            <v>500 ML</v>
          </cell>
          <cell r="F82">
            <v>165</v>
          </cell>
          <cell r="G82">
            <v>18</v>
          </cell>
          <cell r="H82">
            <v>29.7</v>
          </cell>
          <cell r="I82">
            <v>194.7</v>
          </cell>
        </row>
        <row r="83">
          <cell r="B83" t="str">
            <v>Nakasa</v>
          </cell>
          <cell r="C83" t="str">
            <v>Lambda Cyhalothrin 2.5% EC</v>
          </cell>
          <cell r="D83" t="str">
            <v>Combat</v>
          </cell>
          <cell r="E83" t="str">
            <v>1000 ML</v>
          </cell>
          <cell r="F83">
            <v>293</v>
          </cell>
          <cell r="G83">
            <v>18</v>
          </cell>
          <cell r="H83">
            <v>52.739999999999995</v>
          </cell>
          <cell r="I83">
            <v>345.74</v>
          </cell>
        </row>
        <row r="84">
          <cell r="B84" t="str">
            <v>Nakasa</v>
          </cell>
          <cell r="C84" t="str">
            <v>Lambda Cyhalothrin 2.5% EC</v>
          </cell>
          <cell r="D84" t="str">
            <v>Combat</v>
          </cell>
          <cell r="E84" t="str">
            <v>5000 ML</v>
          </cell>
          <cell r="F84">
            <v>1418</v>
          </cell>
          <cell r="G84">
            <v>18</v>
          </cell>
          <cell r="H84">
            <v>255.23999999999998</v>
          </cell>
          <cell r="I84">
            <v>1673.24</v>
          </cell>
        </row>
        <row r="85">
          <cell r="B85" t="str">
            <v>Nakasa</v>
          </cell>
          <cell r="C85" t="str">
            <v>Lambda Cyhalothrin 5% EC</v>
          </cell>
          <cell r="D85" t="str">
            <v>Barbarika</v>
          </cell>
          <cell r="E85" t="str">
            <v>100 ML</v>
          </cell>
          <cell r="F85">
            <v>57</v>
          </cell>
          <cell r="G85">
            <v>18</v>
          </cell>
          <cell r="H85">
            <v>10.26</v>
          </cell>
          <cell r="I85">
            <v>67.260000000000005</v>
          </cell>
        </row>
        <row r="86">
          <cell r="B86" t="str">
            <v>Nakasa</v>
          </cell>
          <cell r="C86" t="str">
            <v>Lambda Cyhalothrin 5% EC</v>
          </cell>
          <cell r="D86" t="str">
            <v>Barbarika</v>
          </cell>
          <cell r="E86" t="str">
            <v>250 ML</v>
          </cell>
          <cell r="F86">
            <v>105</v>
          </cell>
          <cell r="G86">
            <v>18</v>
          </cell>
          <cell r="H86">
            <v>18.899999999999999</v>
          </cell>
          <cell r="I86">
            <v>123.9</v>
          </cell>
        </row>
        <row r="87">
          <cell r="B87" t="str">
            <v>Nakasa</v>
          </cell>
          <cell r="C87" t="str">
            <v>Lambda Cyhalothrin 5% EC</v>
          </cell>
          <cell r="D87" t="str">
            <v>Barbarika</v>
          </cell>
          <cell r="E87" t="str">
            <v>500 ML</v>
          </cell>
          <cell r="F87">
            <v>183</v>
          </cell>
          <cell r="G87">
            <v>18</v>
          </cell>
          <cell r="H87">
            <v>32.94</v>
          </cell>
          <cell r="I87">
            <v>215.94</v>
          </cell>
        </row>
        <row r="88">
          <cell r="B88" t="str">
            <v>Nakasa</v>
          </cell>
          <cell r="C88" t="str">
            <v>Lambda Cyhalothrin 5% EC</v>
          </cell>
          <cell r="D88" t="str">
            <v>Barbarika</v>
          </cell>
          <cell r="E88" t="str">
            <v>1000 ML</v>
          </cell>
          <cell r="F88">
            <v>336</v>
          </cell>
          <cell r="G88">
            <v>18</v>
          </cell>
          <cell r="H88">
            <v>60.48</v>
          </cell>
          <cell r="I88">
            <v>396.48</v>
          </cell>
        </row>
        <row r="89">
          <cell r="B89" t="str">
            <v>Nakasa</v>
          </cell>
          <cell r="C89" t="str">
            <v>Lambda Cyhalothrin 5% EC</v>
          </cell>
          <cell r="D89" t="str">
            <v>Barbarika</v>
          </cell>
          <cell r="E89" t="str">
            <v>5000 ML</v>
          </cell>
          <cell r="F89">
            <v>1636</v>
          </cell>
          <cell r="G89">
            <v>18</v>
          </cell>
          <cell r="H89">
            <v>294.47999999999996</v>
          </cell>
          <cell r="I89">
            <v>1930.48</v>
          </cell>
        </row>
        <row r="90">
          <cell r="B90" t="str">
            <v>Nakasa</v>
          </cell>
          <cell r="C90" t="str">
            <v>Novaluron 10% EC</v>
          </cell>
          <cell r="D90" t="str">
            <v>Ryman</v>
          </cell>
          <cell r="E90" t="str">
            <v>100 ML</v>
          </cell>
          <cell r="F90">
            <v>275</v>
          </cell>
          <cell r="G90">
            <v>18</v>
          </cell>
          <cell r="H90">
            <v>49.5</v>
          </cell>
          <cell r="I90">
            <v>324.5</v>
          </cell>
        </row>
        <row r="91">
          <cell r="B91" t="str">
            <v>Nakasa</v>
          </cell>
          <cell r="C91" t="str">
            <v>Novaluron 10% EC</v>
          </cell>
          <cell r="D91" t="str">
            <v>Ryman</v>
          </cell>
          <cell r="E91" t="str">
            <v>250 ML</v>
          </cell>
          <cell r="F91">
            <v>657</v>
          </cell>
          <cell r="G91">
            <v>18</v>
          </cell>
          <cell r="H91">
            <v>118.25999999999999</v>
          </cell>
          <cell r="I91">
            <v>775.26</v>
          </cell>
        </row>
        <row r="92">
          <cell r="B92" t="str">
            <v>Nakasa</v>
          </cell>
          <cell r="C92" t="str">
            <v>Novaluron 10% EC</v>
          </cell>
          <cell r="D92" t="str">
            <v>Ryman</v>
          </cell>
          <cell r="E92" t="str">
            <v>500 ML</v>
          </cell>
          <cell r="F92">
            <v>1287</v>
          </cell>
          <cell r="G92">
            <v>18</v>
          </cell>
          <cell r="H92">
            <v>231.66</v>
          </cell>
          <cell r="I92">
            <v>1518.66</v>
          </cell>
        </row>
        <row r="93">
          <cell r="B93" t="str">
            <v>Nakasa</v>
          </cell>
          <cell r="C93" t="str">
            <v>Novaluron 10% EC</v>
          </cell>
          <cell r="D93" t="str">
            <v>Ryman</v>
          </cell>
          <cell r="E93" t="str">
            <v>1000 ML</v>
          </cell>
          <cell r="F93">
            <v>2520</v>
          </cell>
          <cell r="G93">
            <v>18</v>
          </cell>
          <cell r="H93">
            <v>453.59999999999997</v>
          </cell>
          <cell r="I93">
            <v>2973.6</v>
          </cell>
        </row>
        <row r="94">
          <cell r="B94" t="str">
            <v>Nakasa</v>
          </cell>
          <cell r="C94" t="str">
            <v xml:space="preserve">Indoxacarb 14.5% SC </v>
          </cell>
          <cell r="D94" t="str">
            <v>Garudasthra</v>
          </cell>
          <cell r="E94" t="str">
            <v>50 ML</v>
          </cell>
          <cell r="F94">
            <v>171</v>
          </cell>
          <cell r="G94">
            <v>18</v>
          </cell>
          <cell r="H94">
            <v>30.779999999999998</v>
          </cell>
          <cell r="I94">
            <v>201.78</v>
          </cell>
        </row>
        <row r="95">
          <cell r="B95" t="str">
            <v>Nakasa</v>
          </cell>
          <cell r="C95" t="str">
            <v xml:space="preserve">Indoxacarb 14.5% SC </v>
          </cell>
          <cell r="D95" t="str">
            <v>Garudasthra</v>
          </cell>
          <cell r="E95" t="str">
            <v>100 ML</v>
          </cell>
          <cell r="F95">
            <v>302</v>
          </cell>
          <cell r="G95">
            <v>18</v>
          </cell>
          <cell r="H95">
            <v>54.36</v>
          </cell>
          <cell r="I95">
            <v>356.36</v>
          </cell>
        </row>
        <row r="96">
          <cell r="B96" t="str">
            <v>Nakasa</v>
          </cell>
          <cell r="C96" t="str">
            <v xml:space="preserve">Indoxacarb 14.5% SC </v>
          </cell>
          <cell r="D96" t="str">
            <v>Garudasthra</v>
          </cell>
          <cell r="E96" t="str">
            <v>200 ML</v>
          </cell>
          <cell r="F96">
            <v>558</v>
          </cell>
          <cell r="G96">
            <v>18</v>
          </cell>
          <cell r="H96">
            <v>100.44</v>
          </cell>
          <cell r="I96">
            <v>658.44</v>
          </cell>
        </row>
        <row r="97">
          <cell r="B97" t="str">
            <v>Nakasa</v>
          </cell>
          <cell r="C97" t="str">
            <v xml:space="preserve">Indoxacarb 14.5% SC </v>
          </cell>
          <cell r="D97" t="str">
            <v>Garudasthra</v>
          </cell>
          <cell r="E97" t="str">
            <v>500 ML</v>
          </cell>
          <cell r="F97">
            <v>1287</v>
          </cell>
          <cell r="G97">
            <v>18</v>
          </cell>
          <cell r="H97">
            <v>231.66</v>
          </cell>
          <cell r="I97">
            <v>1518.66</v>
          </cell>
        </row>
        <row r="98">
          <cell r="B98" t="str">
            <v>Nakasa</v>
          </cell>
          <cell r="C98" t="str">
            <v xml:space="preserve">Indoxacarb 14.5% SC </v>
          </cell>
          <cell r="D98" t="str">
            <v>Garudasthra</v>
          </cell>
          <cell r="E98" t="str">
            <v>1000 ML</v>
          </cell>
          <cell r="F98">
            <v>2529</v>
          </cell>
          <cell r="G98">
            <v>18</v>
          </cell>
          <cell r="H98">
            <v>455.21999999999997</v>
          </cell>
          <cell r="I98">
            <v>2984.22</v>
          </cell>
        </row>
        <row r="99">
          <cell r="B99" t="str">
            <v>Nakasa</v>
          </cell>
          <cell r="C99" t="str">
            <v>Pymetrozine 50% WG</v>
          </cell>
          <cell r="D99" t="str">
            <v>Meass</v>
          </cell>
          <cell r="E99" t="str">
            <v>120 GMS</v>
          </cell>
          <cell r="F99">
            <v>180</v>
          </cell>
          <cell r="G99">
            <v>18</v>
          </cell>
          <cell r="H99">
            <v>32.4</v>
          </cell>
          <cell r="I99">
            <v>212.4</v>
          </cell>
        </row>
        <row r="100">
          <cell r="B100" t="str">
            <v>Nakasa</v>
          </cell>
          <cell r="C100" t="str">
            <v>Pymetrozine 50% WG</v>
          </cell>
          <cell r="D100" t="str">
            <v>Meass</v>
          </cell>
          <cell r="E100" t="str">
            <v>250 GMS</v>
          </cell>
          <cell r="F100">
            <v>360</v>
          </cell>
          <cell r="G100">
            <v>18</v>
          </cell>
          <cell r="H100">
            <v>64.8</v>
          </cell>
          <cell r="I100">
            <v>424.8</v>
          </cell>
        </row>
        <row r="101">
          <cell r="B101" t="str">
            <v>Nakasa</v>
          </cell>
          <cell r="C101" t="str">
            <v>Pymetrozine 50% WG</v>
          </cell>
          <cell r="D101" t="str">
            <v>Meass</v>
          </cell>
          <cell r="E101" t="str">
            <v>500 GMS</v>
          </cell>
          <cell r="F101">
            <v>675</v>
          </cell>
          <cell r="G101">
            <v>18</v>
          </cell>
          <cell r="H101">
            <v>121.5</v>
          </cell>
          <cell r="I101">
            <v>796.5</v>
          </cell>
        </row>
        <row r="102">
          <cell r="B102" t="str">
            <v>Nakasa</v>
          </cell>
          <cell r="C102" t="str">
            <v>Pymetrozine 50% WG</v>
          </cell>
          <cell r="D102" t="str">
            <v>Meass</v>
          </cell>
          <cell r="E102" t="str">
            <v>1000 GMS</v>
          </cell>
          <cell r="F102">
            <v>1305</v>
          </cell>
          <cell r="G102">
            <v>18</v>
          </cell>
          <cell r="H102">
            <v>234.89999999999998</v>
          </cell>
          <cell r="I102">
            <v>1539.9</v>
          </cell>
        </row>
        <row r="103">
          <cell r="B103" t="str">
            <v>Nakasa</v>
          </cell>
          <cell r="C103" t="str">
            <v>Tolfenpyrad 15% EC</v>
          </cell>
          <cell r="D103" t="str">
            <v>Taruchi</v>
          </cell>
          <cell r="E103" t="str">
            <v>100 ML</v>
          </cell>
          <cell r="F103">
            <v>170</v>
          </cell>
          <cell r="G103">
            <v>18</v>
          </cell>
          <cell r="H103">
            <v>30.599999999999998</v>
          </cell>
          <cell r="I103">
            <v>200.6</v>
          </cell>
        </row>
        <row r="104">
          <cell r="B104" t="str">
            <v>Nakasa</v>
          </cell>
          <cell r="C104" t="str">
            <v>Tolfenpyrad 15% EC</v>
          </cell>
          <cell r="D104" t="str">
            <v>Taruchi</v>
          </cell>
          <cell r="E104" t="str">
            <v>250 ML</v>
          </cell>
          <cell r="F104">
            <v>404</v>
          </cell>
          <cell r="G104">
            <v>18</v>
          </cell>
          <cell r="H104">
            <v>72.72</v>
          </cell>
          <cell r="I104">
            <v>476.72</v>
          </cell>
        </row>
        <row r="105">
          <cell r="B105" t="str">
            <v>Nakasa</v>
          </cell>
          <cell r="C105" t="str">
            <v>Tolfenpyrad 15% EC</v>
          </cell>
          <cell r="D105" t="str">
            <v>Taruchi</v>
          </cell>
          <cell r="E105" t="str">
            <v>500 ML</v>
          </cell>
          <cell r="F105">
            <v>765</v>
          </cell>
          <cell r="G105">
            <v>18</v>
          </cell>
          <cell r="H105">
            <v>137.69999999999999</v>
          </cell>
          <cell r="I105">
            <v>902.7</v>
          </cell>
        </row>
        <row r="106">
          <cell r="B106" t="str">
            <v>Nakasa</v>
          </cell>
          <cell r="C106" t="str">
            <v>Tolfenpyrad 15% EC</v>
          </cell>
          <cell r="D106" t="str">
            <v>Taruchi</v>
          </cell>
          <cell r="E106" t="str">
            <v>1000 ML</v>
          </cell>
          <cell r="F106">
            <v>1488</v>
          </cell>
          <cell r="G106">
            <v>18</v>
          </cell>
          <cell r="H106">
            <v>267.83999999999997</v>
          </cell>
          <cell r="I106">
            <v>1755.84</v>
          </cell>
        </row>
        <row r="107">
          <cell r="B107" t="str">
            <v>Nakasa</v>
          </cell>
          <cell r="C107" t="str">
            <v>Chlorantraniliprole 18.5% SC</v>
          </cell>
          <cell r="D107" t="str">
            <v>Coranto</v>
          </cell>
          <cell r="E107" t="str">
            <v>10 ML</v>
          </cell>
          <cell r="F107">
            <v>55</v>
          </cell>
          <cell r="G107">
            <v>18</v>
          </cell>
          <cell r="H107">
            <v>9.9</v>
          </cell>
          <cell r="I107">
            <v>64.900000000000006</v>
          </cell>
        </row>
        <row r="108">
          <cell r="B108" t="str">
            <v>Nakasa</v>
          </cell>
          <cell r="C108" t="str">
            <v>Chlorantraniliprole 18.5% SC</v>
          </cell>
          <cell r="D108" t="str">
            <v>Coranto</v>
          </cell>
          <cell r="E108" t="str">
            <v>30 ML</v>
          </cell>
          <cell r="F108">
            <v>111</v>
          </cell>
          <cell r="G108">
            <v>18</v>
          </cell>
          <cell r="H108">
            <v>19.98</v>
          </cell>
          <cell r="I108">
            <v>130.97999999999999</v>
          </cell>
        </row>
        <row r="109">
          <cell r="B109" t="str">
            <v>Nakasa</v>
          </cell>
          <cell r="C109" t="str">
            <v>Chlorantraniliprole 18.5% SC</v>
          </cell>
          <cell r="D109" t="str">
            <v>Coranto</v>
          </cell>
          <cell r="E109" t="str">
            <v>60 ML</v>
          </cell>
          <cell r="F109">
            <v>183</v>
          </cell>
          <cell r="G109">
            <v>18</v>
          </cell>
          <cell r="H109">
            <v>32.94</v>
          </cell>
          <cell r="I109">
            <v>215.94</v>
          </cell>
        </row>
        <row r="110">
          <cell r="B110" t="str">
            <v>Nakasa</v>
          </cell>
          <cell r="C110" t="str">
            <v>Chlorantraniliprole 18.5% SC</v>
          </cell>
          <cell r="D110" t="str">
            <v>Coranto</v>
          </cell>
          <cell r="E110" t="str">
            <v>150 ML</v>
          </cell>
          <cell r="F110">
            <v>404</v>
          </cell>
          <cell r="G110">
            <v>18</v>
          </cell>
          <cell r="H110">
            <v>72.72</v>
          </cell>
          <cell r="I110">
            <v>476.72</v>
          </cell>
        </row>
        <row r="111">
          <cell r="B111" t="str">
            <v>Nakasa</v>
          </cell>
          <cell r="C111" t="str">
            <v>Chlorantraniliprole 18.5% SC</v>
          </cell>
          <cell r="D111" t="str">
            <v>Coranto</v>
          </cell>
          <cell r="E111" t="str">
            <v>300 ML</v>
          </cell>
          <cell r="F111">
            <v>765</v>
          </cell>
          <cell r="G111">
            <v>18</v>
          </cell>
          <cell r="H111">
            <v>137.69999999999999</v>
          </cell>
          <cell r="I111">
            <v>902.7</v>
          </cell>
        </row>
        <row r="112">
          <cell r="B112" t="str">
            <v>Nakasa</v>
          </cell>
          <cell r="C112" t="str">
            <v>Abamectin 1.9% EC</v>
          </cell>
          <cell r="D112" t="str">
            <v>Abocin</v>
          </cell>
          <cell r="E112" t="str">
            <v>100 ML</v>
          </cell>
          <cell r="F112">
            <v>191</v>
          </cell>
          <cell r="G112">
            <v>18</v>
          </cell>
          <cell r="H112">
            <v>34.379999999999995</v>
          </cell>
          <cell r="I112">
            <v>225.38</v>
          </cell>
        </row>
        <row r="113">
          <cell r="B113" t="str">
            <v>Nakasa</v>
          </cell>
          <cell r="C113" t="str">
            <v>Abamectin 1.9% EC</v>
          </cell>
          <cell r="D113" t="str">
            <v>Abocin</v>
          </cell>
          <cell r="E113" t="str">
            <v>250 ML</v>
          </cell>
          <cell r="F113">
            <v>378</v>
          </cell>
          <cell r="G113">
            <v>18</v>
          </cell>
          <cell r="H113">
            <v>68.039999999999992</v>
          </cell>
          <cell r="I113">
            <v>446.03999999999996</v>
          </cell>
        </row>
        <row r="114">
          <cell r="B114" t="str">
            <v>Nakasa</v>
          </cell>
          <cell r="C114" t="str">
            <v>Abamectin 1.9% EC</v>
          </cell>
          <cell r="D114" t="str">
            <v>Abocin</v>
          </cell>
          <cell r="E114" t="str">
            <v>500 ML</v>
          </cell>
          <cell r="F114">
            <v>723</v>
          </cell>
          <cell r="G114">
            <v>18</v>
          </cell>
          <cell r="H114">
            <v>130.13999999999999</v>
          </cell>
          <cell r="I114">
            <v>853.14</v>
          </cell>
        </row>
        <row r="115">
          <cell r="B115" t="str">
            <v>Nakasa</v>
          </cell>
          <cell r="C115" t="str">
            <v>Abamectin 1.9% EC</v>
          </cell>
          <cell r="D115" t="str">
            <v>Abocin</v>
          </cell>
          <cell r="E115" t="str">
            <v>1000 ML</v>
          </cell>
          <cell r="F115">
            <v>1360</v>
          </cell>
          <cell r="G115">
            <v>18</v>
          </cell>
          <cell r="H115">
            <v>244.79999999999998</v>
          </cell>
          <cell r="I115">
            <v>1604.8</v>
          </cell>
        </row>
        <row r="116">
          <cell r="B116" t="str">
            <v>Nakasa</v>
          </cell>
          <cell r="C116" t="str">
            <v>Spiromesifen 22.9% SC</v>
          </cell>
          <cell r="D116" t="str">
            <v>Neoron</v>
          </cell>
          <cell r="E116" t="str">
            <v>100 ML</v>
          </cell>
          <cell r="F116">
            <v>324</v>
          </cell>
          <cell r="G116">
            <v>18</v>
          </cell>
          <cell r="H116">
            <v>58.32</v>
          </cell>
          <cell r="I116">
            <v>382.32</v>
          </cell>
        </row>
        <row r="117">
          <cell r="B117" t="str">
            <v>Nakasa</v>
          </cell>
          <cell r="C117" t="str">
            <v>Spiromesifen 22.9% SC</v>
          </cell>
          <cell r="D117" t="str">
            <v>Neoron</v>
          </cell>
          <cell r="E117" t="str">
            <v>200 ML</v>
          </cell>
          <cell r="F117">
            <v>626</v>
          </cell>
          <cell r="G117">
            <v>18</v>
          </cell>
          <cell r="H117">
            <v>112.67999999999999</v>
          </cell>
          <cell r="I117">
            <v>738.68</v>
          </cell>
        </row>
        <row r="118">
          <cell r="B118" t="str">
            <v>Nakasa</v>
          </cell>
          <cell r="C118" t="str">
            <v>Spiromesifen 22.9% SC</v>
          </cell>
          <cell r="D118" t="str">
            <v>Neoron</v>
          </cell>
          <cell r="E118" t="str">
            <v>500 ML</v>
          </cell>
          <cell r="F118">
            <v>1530</v>
          </cell>
          <cell r="G118">
            <v>18</v>
          </cell>
          <cell r="H118">
            <v>275.39999999999998</v>
          </cell>
          <cell r="I118">
            <v>1805.4</v>
          </cell>
        </row>
        <row r="119">
          <cell r="B119" t="str">
            <v>Nakasa</v>
          </cell>
          <cell r="C119" t="str">
            <v>Spiromesifen 22.9% SC</v>
          </cell>
          <cell r="D119" t="str">
            <v>Neoron</v>
          </cell>
          <cell r="E119" t="str">
            <v>1000 ML</v>
          </cell>
          <cell r="F119">
            <v>2970</v>
          </cell>
          <cell r="G119">
            <v>18</v>
          </cell>
          <cell r="H119">
            <v>534.6</v>
          </cell>
          <cell r="I119">
            <v>3504.6</v>
          </cell>
        </row>
        <row r="120">
          <cell r="B120" t="str">
            <v>Nakasa</v>
          </cell>
          <cell r="C120" t="str">
            <v>Propargite 57% EC</v>
          </cell>
          <cell r="D120" t="str">
            <v>Progite</v>
          </cell>
          <cell r="E120" t="str">
            <v>100 ML</v>
          </cell>
          <cell r="F120">
            <v>162</v>
          </cell>
          <cell r="G120">
            <v>18</v>
          </cell>
          <cell r="H120">
            <v>29.16</v>
          </cell>
          <cell r="I120">
            <v>191.16</v>
          </cell>
        </row>
        <row r="121">
          <cell r="B121" t="str">
            <v>Nakasa</v>
          </cell>
          <cell r="C121" t="str">
            <v>Propargite 57% EC</v>
          </cell>
          <cell r="D121" t="str">
            <v>Progite</v>
          </cell>
          <cell r="E121" t="str">
            <v>250 ML</v>
          </cell>
          <cell r="F121">
            <v>356</v>
          </cell>
          <cell r="G121">
            <v>18</v>
          </cell>
          <cell r="H121">
            <v>64.08</v>
          </cell>
          <cell r="I121">
            <v>420.08</v>
          </cell>
        </row>
        <row r="122">
          <cell r="B122" t="str">
            <v>Nakasa</v>
          </cell>
          <cell r="C122" t="str">
            <v>Propargite 57% EC</v>
          </cell>
          <cell r="D122" t="str">
            <v>Progite</v>
          </cell>
          <cell r="E122" t="str">
            <v>500 ML</v>
          </cell>
          <cell r="F122">
            <v>675</v>
          </cell>
          <cell r="G122">
            <v>18</v>
          </cell>
          <cell r="H122">
            <v>121.5</v>
          </cell>
          <cell r="I122">
            <v>796.5</v>
          </cell>
        </row>
        <row r="123">
          <cell r="B123" t="str">
            <v>Nakasa</v>
          </cell>
          <cell r="C123" t="str">
            <v>Propargite 57% EC</v>
          </cell>
          <cell r="D123" t="str">
            <v>Progite</v>
          </cell>
          <cell r="E123" t="str">
            <v>1000 ML</v>
          </cell>
          <cell r="F123">
            <v>1283</v>
          </cell>
          <cell r="G123">
            <v>18</v>
          </cell>
          <cell r="H123">
            <v>230.94</v>
          </cell>
          <cell r="I123">
            <v>1513.94</v>
          </cell>
        </row>
        <row r="124">
          <cell r="B124" t="str">
            <v>Nakasa</v>
          </cell>
          <cell r="C124" t="str">
            <v>Cartap Hydrochloride 50% SP</v>
          </cell>
          <cell r="D124" t="str">
            <v>Maroon</v>
          </cell>
          <cell r="E124" t="str">
            <v>100 GMS</v>
          </cell>
          <cell r="F124">
            <v>166</v>
          </cell>
          <cell r="G124">
            <v>18</v>
          </cell>
          <cell r="H124">
            <v>29.88</v>
          </cell>
          <cell r="I124">
            <v>195.88</v>
          </cell>
        </row>
        <row r="125">
          <cell r="B125" t="str">
            <v>Nakasa</v>
          </cell>
          <cell r="C125" t="str">
            <v>Cartap Hydrochloride 50% SP</v>
          </cell>
          <cell r="D125" t="str">
            <v>Maroon</v>
          </cell>
          <cell r="E125" t="str">
            <v>250 GMS</v>
          </cell>
          <cell r="F125">
            <v>383</v>
          </cell>
          <cell r="G125">
            <v>18</v>
          </cell>
          <cell r="H125">
            <v>68.94</v>
          </cell>
          <cell r="I125">
            <v>451.94</v>
          </cell>
        </row>
        <row r="126">
          <cell r="B126" t="str">
            <v>Nakasa</v>
          </cell>
          <cell r="C126" t="str">
            <v>Cartap Hydrochloride 50% SP</v>
          </cell>
          <cell r="D126" t="str">
            <v>Maroon</v>
          </cell>
          <cell r="E126" t="str">
            <v>500 GMS</v>
          </cell>
          <cell r="F126">
            <v>723</v>
          </cell>
          <cell r="G126">
            <v>18</v>
          </cell>
          <cell r="H126">
            <v>130.13999999999999</v>
          </cell>
          <cell r="I126">
            <v>853.14</v>
          </cell>
        </row>
        <row r="127">
          <cell r="B127" t="str">
            <v>Nakasa</v>
          </cell>
          <cell r="C127" t="str">
            <v>Cartap Hydrochloride 50% SP</v>
          </cell>
          <cell r="D127" t="str">
            <v>Maroon</v>
          </cell>
          <cell r="E127" t="str">
            <v>1000 GMS</v>
          </cell>
          <cell r="F127">
            <v>1445</v>
          </cell>
          <cell r="G127">
            <v>18</v>
          </cell>
          <cell r="H127">
            <v>260.09999999999997</v>
          </cell>
          <cell r="I127">
            <v>1705.1</v>
          </cell>
        </row>
        <row r="128">
          <cell r="B128" t="str">
            <v>Nakasa</v>
          </cell>
          <cell r="C128" t="str">
            <v>Chlorpyrifos 50% + Cypermethrin 5% EC</v>
          </cell>
          <cell r="D128" t="str">
            <v>Sira</v>
          </cell>
          <cell r="E128" t="str">
            <v>100 ML</v>
          </cell>
          <cell r="F128">
            <v>87</v>
          </cell>
          <cell r="G128">
            <v>18</v>
          </cell>
          <cell r="H128">
            <v>15.66</v>
          </cell>
          <cell r="I128">
            <v>102.66</v>
          </cell>
        </row>
        <row r="129">
          <cell r="B129" t="str">
            <v>Nakasa</v>
          </cell>
          <cell r="C129" t="str">
            <v>Chlorpyrifos 50% + Cypermethrin 5% EC</v>
          </cell>
          <cell r="D129" t="str">
            <v>Sira</v>
          </cell>
          <cell r="E129" t="str">
            <v>250 ML</v>
          </cell>
          <cell r="F129">
            <v>187</v>
          </cell>
          <cell r="G129">
            <v>18</v>
          </cell>
          <cell r="H129">
            <v>33.659999999999997</v>
          </cell>
          <cell r="I129">
            <v>220.66</v>
          </cell>
        </row>
        <row r="130">
          <cell r="B130" t="str">
            <v>Nakasa</v>
          </cell>
          <cell r="C130" t="str">
            <v>Chlorpyrifos 50% + Cypermethrin 5% EC</v>
          </cell>
          <cell r="D130" t="str">
            <v>Sira</v>
          </cell>
          <cell r="E130" t="str">
            <v>500 ML</v>
          </cell>
          <cell r="F130">
            <v>347</v>
          </cell>
          <cell r="G130">
            <v>18</v>
          </cell>
          <cell r="H130">
            <v>62.46</v>
          </cell>
          <cell r="I130">
            <v>409.46</v>
          </cell>
        </row>
        <row r="131">
          <cell r="B131" t="str">
            <v>Nakasa</v>
          </cell>
          <cell r="C131" t="str">
            <v>Chlorpyrifos 50% + Cypermethrin 5% EC</v>
          </cell>
          <cell r="D131" t="str">
            <v>Sira</v>
          </cell>
          <cell r="E131" t="str">
            <v>1000 ML</v>
          </cell>
          <cell r="F131">
            <v>662</v>
          </cell>
          <cell r="G131">
            <v>18</v>
          </cell>
          <cell r="H131">
            <v>119.16</v>
          </cell>
          <cell r="I131">
            <v>781.16</v>
          </cell>
        </row>
        <row r="132">
          <cell r="B132" t="str">
            <v>Nakasa</v>
          </cell>
          <cell r="C132" t="str">
            <v>Chlorpyrifos 50% + Cypermethrin 5% EC</v>
          </cell>
          <cell r="D132" t="str">
            <v>Sira</v>
          </cell>
          <cell r="E132" t="str">
            <v>5000 ML</v>
          </cell>
          <cell r="F132">
            <v>3263</v>
          </cell>
          <cell r="G132">
            <v>18</v>
          </cell>
          <cell r="H132">
            <v>587.34</v>
          </cell>
          <cell r="I132">
            <v>3850.34</v>
          </cell>
        </row>
        <row r="133">
          <cell r="B133" t="str">
            <v>Nakasa</v>
          </cell>
          <cell r="C133" t="str">
            <v>Ethion 40% + Cypermethrin 5% EC</v>
          </cell>
          <cell r="D133" t="str">
            <v>Kiyana</v>
          </cell>
          <cell r="E133" t="str">
            <v>100 ML</v>
          </cell>
          <cell r="F133">
            <v>87</v>
          </cell>
          <cell r="G133">
            <v>18</v>
          </cell>
          <cell r="H133">
            <v>15.66</v>
          </cell>
          <cell r="I133">
            <v>102.66</v>
          </cell>
        </row>
        <row r="134">
          <cell r="B134" t="str">
            <v>Nakasa</v>
          </cell>
          <cell r="C134" t="str">
            <v>Ethion 40% + Cypermethrin 5% EC</v>
          </cell>
          <cell r="D134" t="str">
            <v>Kiyana</v>
          </cell>
          <cell r="E134" t="str">
            <v>250 ML</v>
          </cell>
          <cell r="F134">
            <v>185</v>
          </cell>
          <cell r="G134">
            <v>18</v>
          </cell>
          <cell r="H134">
            <v>33.299999999999997</v>
          </cell>
          <cell r="I134">
            <v>218.3</v>
          </cell>
        </row>
        <row r="135">
          <cell r="B135" t="str">
            <v>Nakasa</v>
          </cell>
          <cell r="C135" t="str">
            <v>Ethion 40% + Cypermethrin 5% EC</v>
          </cell>
          <cell r="D135" t="str">
            <v>Kiyana</v>
          </cell>
          <cell r="E135" t="str">
            <v>500 ML</v>
          </cell>
          <cell r="F135">
            <v>345</v>
          </cell>
          <cell r="G135">
            <v>18</v>
          </cell>
          <cell r="H135">
            <v>62.099999999999994</v>
          </cell>
          <cell r="I135">
            <v>407.1</v>
          </cell>
        </row>
        <row r="136">
          <cell r="B136" t="str">
            <v>Nakasa</v>
          </cell>
          <cell r="C136" t="str">
            <v>Ethion 40% + Cypermethrin 5% EC</v>
          </cell>
          <cell r="D136" t="str">
            <v>Kiyana</v>
          </cell>
          <cell r="E136" t="str">
            <v>1000 ML</v>
          </cell>
          <cell r="F136">
            <v>651</v>
          </cell>
          <cell r="G136">
            <v>18</v>
          </cell>
          <cell r="H136">
            <v>117.17999999999999</v>
          </cell>
          <cell r="I136">
            <v>768.18</v>
          </cell>
        </row>
        <row r="137">
          <cell r="B137" t="str">
            <v>Nakasa</v>
          </cell>
          <cell r="C137" t="str">
            <v>Profenophos 40% + Cypermethrin 4% EC</v>
          </cell>
          <cell r="D137" t="str">
            <v>Profect Super</v>
          </cell>
          <cell r="E137" t="str">
            <v>100 ML</v>
          </cell>
          <cell r="F137">
            <v>104</v>
          </cell>
          <cell r="G137">
            <v>18</v>
          </cell>
          <cell r="H137">
            <v>18.72</v>
          </cell>
          <cell r="I137">
            <v>122.72</v>
          </cell>
        </row>
        <row r="138">
          <cell r="B138" t="str">
            <v>Nakasa</v>
          </cell>
          <cell r="C138" t="str">
            <v>Profenophos 40% + Cypermethrin 4% EC</v>
          </cell>
          <cell r="D138" t="str">
            <v>Profect Super</v>
          </cell>
          <cell r="E138" t="str">
            <v>250 ML</v>
          </cell>
          <cell r="F138">
            <v>216</v>
          </cell>
          <cell r="G138">
            <v>18</v>
          </cell>
          <cell r="H138">
            <v>38.879999999999995</v>
          </cell>
          <cell r="I138">
            <v>254.88</v>
          </cell>
        </row>
        <row r="139">
          <cell r="B139" t="str">
            <v>Nakasa</v>
          </cell>
          <cell r="C139" t="str">
            <v>Profenophos 40% + Cypermethrin 4% EC</v>
          </cell>
          <cell r="D139" t="str">
            <v>Profect Super</v>
          </cell>
          <cell r="E139" t="str">
            <v>500 ML</v>
          </cell>
          <cell r="F139">
            <v>392</v>
          </cell>
          <cell r="G139">
            <v>18</v>
          </cell>
          <cell r="H139">
            <v>70.56</v>
          </cell>
          <cell r="I139">
            <v>462.56</v>
          </cell>
        </row>
        <row r="140">
          <cell r="B140" t="str">
            <v>Nakasa</v>
          </cell>
          <cell r="C140" t="str">
            <v>Profenophos 40% + Cypermethrin 4% EC</v>
          </cell>
          <cell r="D140" t="str">
            <v>Profect Super</v>
          </cell>
          <cell r="E140" t="str">
            <v>1000 ML</v>
          </cell>
          <cell r="F140">
            <v>716</v>
          </cell>
          <cell r="G140">
            <v>18</v>
          </cell>
          <cell r="H140">
            <v>128.88</v>
          </cell>
          <cell r="I140">
            <v>844.88</v>
          </cell>
        </row>
        <row r="141">
          <cell r="B141" t="str">
            <v>Nakasa</v>
          </cell>
          <cell r="C141" t="str">
            <v>Profenophos 40% + Cypermethrin 4% EC</v>
          </cell>
          <cell r="D141" t="str">
            <v>Profect Super</v>
          </cell>
          <cell r="E141" t="str">
            <v>5000 ML</v>
          </cell>
          <cell r="F141">
            <v>3443</v>
          </cell>
          <cell r="G141">
            <v>18</v>
          </cell>
          <cell r="H141">
            <v>619.74</v>
          </cell>
          <cell r="I141">
            <v>4062.74</v>
          </cell>
        </row>
        <row r="142">
          <cell r="B142" t="str">
            <v>Nakasa</v>
          </cell>
          <cell r="C142" t="str">
            <v>Fipronil 4% + Acetamiprid 4% SC</v>
          </cell>
          <cell r="D142" t="str">
            <v>Armani</v>
          </cell>
          <cell r="E142" t="str">
            <v>100 ML</v>
          </cell>
          <cell r="F142">
            <v>86</v>
          </cell>
          <cell r="G142">
            <v>18</v>
          </cell>
          <cell r="H142">
            <v>15.479999999999999</v>
          </cell>
          <cell r="I142">
            <v>101.48</v>
          </cell>
        </row>
        <row r="143">
          <cell r="B143" t="str">
            <v>Nakasa</v>
          </cell>
          <cell r="C143" t="str">
            <v>Fipronil 4% + Acetamiprid 4% SC</v>
          </cell>
          <cell r="D143" t="str">
            <v>Armani</v>
          </cell>
          <cell r="E143" t="str">
            <v>250 ML</v>
          </cell>
          <cell r="F143">
            <v>187</v>
          </cell>
          <cell r="G143">
            <v>18</v>
          </cell>
          <cell r="H143">
            <v>33.659999999999997</v>
          </cell>
          <cell r="I143">
            <v>220.66</v>
          </cell>
        </row>
        <row r="144">
          <cell r="B144" t="str">
            <v>Nakasa</v>
          </cell>
          <cell r="C144" t="str">
            <v>Fipronil 4% + Acetamiprid 4% SC</v>
          </cell>
          <cell r="D144" t="str">
            <v>Armani</v>
          </cell>
          <cell r="E144" t="str">
            <v>500 ML</v>
          </cell>
          <cell r="F144">
            <v>333</v>
          </cell>
          <cell r="G144">
            <v>18</v>
          </cell>
          <cell r="H144">
            <v>59.94</v>
          </cell>
          <cell r="I144">
            <v>392.94</v>
          </cell>
        </row>
        <row r="145">
          <cell r="B145" t="str">
            <v>Nakasa</v>
          </cell>
          <cell r="C145" t="str">
            <v>Fipronil 4% + Acetamiprid 4% SC</v>
          </cell>
          <cell r="D145" t="str">
            <v>Armani</v>
          </cell>
          <cell r="E145" t="str">
            <v>1000 ML</v>
          </cell>
          <cell r="F145">
            <v>630</v>
          </cell>
          <cell r="G145">
            <v>18</v>
          </cell>
          <cell r="H145">
            <v>113.39999999999999</v>
          </cell>
          <cell r="I145">
            <v>743.4</v>
          </cell>
        </row>
        <row r="146">
          <cell r="B146" t="str">
            <v>Nakasa</v>
          </cell>
          <cell r="C146" t="str">
            <v>Thiamethoxam 4% + Fipronil 4% SC</v>
          </cell>
          <cell r="D146" t="str">
            <v>Patak-D</v>
          </cell>
          <cell r="E146" t="str">
            <v>100 ML</v>
          </cell>
          <cell r="F146">
            <v>94</v>
          </cell>
          <cell r="G146">
            <v>18</v>
          </cell>
          <cell r="H146">
            <v>16.919999999999998</v>
          </cell>
          <cell r="I146">
            <v>110.92</v>
          </cell>
        </row>
        <row r="147">
          <cell r="B147" t="str">
            <v>Nakasa</v>
          </cell>
          <cell r="C147" t="str">
            <v>Thiamethoxam 4% + Fipronil 4% SC</v>
          </cell>
          <cell r="D147" t="str">
            <v>Patak-D</v>
          </cell>
          <cell r="E147" t="str">
            <v>250 ML</v>
          </cell>
          <cell r="F147">
            <v>200</v>
          </cell>
          <cell r="G147">
            <v>18</v>
          </cell>
          <cell r="H147">
            <v>36</v>
          </cell>
          <cell r="I147">
            <v>236</v>
          </cell>
        </row>
        <row r="148">
          <cell r="B148" t="str">
            <v>Nakasa</v>
          </cell>
          <cell r="C148" t="str">
            <v>Thiamethoxam 4% + Fipronil 4% SC</v>
          </cell>
          <cell r="D148" t="str">
            <v>Patak-D</v>
          </cell>
          <cell r="E148" t="str">
            <v>500 ML</v>
          </cell>
          <cell r="F148">
            <v>356</v>
          </cell>
          <cell r="G148">
            <v>18</v>
          </cell>
          <cell r="H148">
            <v>64.08</v>
          </cell>
          <cell r="I148">
            <v>420.08</v>
          </cell>
        </row>
        <row r="149">
          <cell r="B149" t="str">
            <v>Nakasa</v>
          </cell>
          <cell r="C149" t="str">
            <v>Thiamethoxam 4% + Fipronil 4% SC</v>
          </cell>
          <cell r="D149" t="str">
            <v>Patak-D</v>
          </cell>
          <cell r="E149" t="str">
            <v>1000 ML</v>
          </cell>
          <cell r="F149">
            <v>684</v>
          </cell>
          <cell r="G149">
            <v>18</v>
          </cell>
          <cell r="H149">
            <v>123.11999999999999</v>
          </cell>
          <cell r="I149">
            <v>807.12</v>
          </cell>
        </row>
        <row r="150">
          <cell r="B150" t="str">
            <v>Nakasa</v>
          </cell>
          <cell r="C150" t="str">
            <v>Pyriproxifen 10% + Bifenthrin 10% EC</v>
          </cell>
          <cell r="D150" t="str">
            <v>Cocktail</v>
          </cell>
          <cell r="E150" t="str">
            <v>100 ML</v>
          </cell>
          <cell r="F150">
            <v>128</v>
          </cell>
          <cell r="G150">
            <v>18</v>
          </cell>
          <cell r="H150">
            <v>23.04</v>
          </cell>
          <cell r="I150">
            <v>151.04</v>
          </cell>
        </row>
        <row r="151">
          <cell r="B151" t="str">
            <v>Nakasa</v>
          </cell>
          <cell r="C151" t="str">
            <v>Pyriproxifen 10% + Bifenthrin 10% EC</v>
          </cell>
          <cell r="D151" t="str">
            <v>Cocktail</v>
          </cell>
          <cell r="E151" t="str">
            <v>250 ML</v>
          </cell>
          <cell r="F151">
            <v>298</v>
          </cell>
          <cell r="G151">
            <v>18</v>
          </cell>
          <cell r="H151">
            <v>53.64</v>
          </cell>
          <cell r="I151">
            <v>351.64</v>
          </cell>
        </row>
        <row r="152">
          <cell r="B152" t="str">
            <v>Nakasa</v>
          </cell>
          <cell r="C152" t="str">
            <v>Pyriproxifen 10% + Bifenthrin 10% EC</v>
          </cell>
          <cell r="D152" t="str">
            <v>Cocktail</v>
          </cell>
          <cell r="E152" t="str">
            <v>500 ML</v>
          </cell>
          <cell r="F152">
            <v>570</v>
          </cell>
          <cell r="G152">
            <v>18</v>
          </cell>
          <cell r="H152">
            <v>102.6</v>
          </cell>
          <cell r="I152">
            <v>672.6</v>
          </cell>
        </row>
        <row r="153">
          <cell r="B153" t="str">
            <v>Nakasa</v>
          </cell>
          <cell r="C153" t="str">
            <v>Pyriproxifen 10% + Bifenthrin 10% EC</v>
          </cell>
          <cell r="D153" t="str">
            <v>Cocktail</v>
          </cell>
          <cell r="E153" t="str">
            <v>1000 ML</v>
          </cell>
          <cell r="F153">
            <v>1105</v>
          </cell>
          <cell r="G153">
            <v>18</v>
          </cell>
          <cell r="H153">
            <v>198.9</v>
          </cell>
          <cell r="I153">
            <v>1303.9000000000001</v>
          </cell>
        </row>
        <row r="154">
          <cell r="B154" t="str">
            <v>Nakasa</v>
          </cell>
          <cell r="C154" t="str">
            <v>Novaluron 5.25% + Indoxacarb 4.5% SC</v>
          </cell>
          <cell r="D154" t="str">
            <v>Psital</v>
          </cell>
          <cell r="E154" t="str">
            <v>100 ML</v>
          </cell>
          <cell r="F154">
            <v>233</v>
          </cell>
          <cell r="G154">
            <v>18</v>
          </cell>
          <cell r="H154">
            <v>41.94</v>
          </cell>
          <cell r="I154">
            <v>274.94</v>
          </cell>
        </row>
        <row r="155">
          <cell r="B155" t="str">
            <v>Nakasa</v>
          </cell>
          <cell r="C155" t="str">
            <v>Novaluron 5.25% + Indoxacarb 4.5% SC</v>
          </cell>
          <cell r="D155" t="str">
            <v>Psital</v>
          </cell>
          <cell r="E155" t="str">
            <v>250 ML</v>
          </cell>
          <cell r="F155">
            <v>532</v>
          </cell>
          <cell r="G155">
            <v>18</v>
          </cell>
          <cell r="H155">
            <v>95.759999999999991</v>
          </cell>
          <cell r="I155">
            <v>627.76</v>
          </cell>
        </row>
        <row r="156">
          <cell r="B156" t="str">
            <v>Nakasa</v>
          </cell>
          <cell r="C156" t="str">
            <v>Novaluron 5.25% + Indoxacarb 4.5% SC</v>
          </cell>
          <cell r="D156" t="str">
            <v>Psital</v>
          </cell>
          <cell r="E156" t="str">
            <v>500 ML</v>
          </cell>
          <cell r="F156">
            <v>1045</v>
          </cell>
          <cell r="G156">
            <v>18</v>
          </cell>
          <cell r="H156">
            <v>188.1</v>
          </cell>
          <cell r="I156">
            <v>1233.0999999999999</v>
          </cell>
        </row>
        <row r="157">
          <cell r="B157" t="str">
            <v>Nakasa</v>
          </cell>
          <cell r="C157" t="str">
            <v>Novaluron 5.25% + Indoxacarb 4.5% SC</v>
          </cell>
          <cell r="D157" t="str">
            <v>Psital</v>
          </cell>
          <cell r="E157" t="str">
            <v>1000 ML</v>
          </cell>
          <cell r="F157">
            <v>2043</v>
          </cell>
          <cell r="G157">
            <v>18</v>
          </cell>
          <cell r="H157">
            <v>367.74</v>
          </cell>
          <cell r="I157">
            <v>2410.7399999999998</v>
          </cell>
        </row>
        <row r="158">
          <cell r="B158" t="str">
            <v>Nakasa</v>
          </cell>
          <cell r="C158" t="str">
            <v>Chlorantraniliprole 4.3% + Abamectin 1.7% SC</v>
          </cell>
          <cell r="D158" t="str">
            <v>Cinza</v>
          </cell>
          <cell r="E158" t="str">
            <v>100 ML</v>
          </cell>
          <cell r="F158">
            <v>247</v>
          </cell>
          <cell r="G158">
            <v>18</v>
          </cell>
          <cell r="H158">
            <v>44.46</v>
          </cell>
          <cell r="I158">
            <v>291.45999999999998</v>
          </cell>
        </row>
        <row r="159">
          <cell r="B159" t="str">
            <v>Nakasa</v>
          </cell>
          <cell r="C159" t="str">
            <v>Chlorantraniliprole 4.3% + Abamectin 1.7% SC</v>
          </cell>
          <cell r="D159" t="str">
            <v>Cinza</v>
          </cell>
          <cell r="E159" t="str">
            <v>250 ML</v>
          </cell>
          <cell r="F159">
            <v>523</v>
          </cell>
          <cell r="G159">
            <v>18</v>
          </cell>
          <cell r="H159">
            <v>94.14</v>
          </cell>
          <cell r="I159">
            <v>617.14</v>
          </cell>
        </row>
        <row r="160">
          <cell r="B160" t="str">
            <v>Nakasa</v>
          </cell>
          <cell r="C160" t="str">
            <v>Chlorantraniliprole 4.3% + Abamectin 1.7% SC</v>
          </cell>
          <cell r="D160" t="str">
            <v>Cinza</v>
          </cell>
          <cell r="E160" t="str">
            <v>500 ML</v>
          </cell>
          <cell r="F160">
            <v>973</v>
          </cell>
          <cell r="G160">
            <v>18</v>
          </cell>
          <cell r="H160">
            <v>175.14</v>
          </cell>
          <cell r="I160">
            <v>1148.1399999999999</v>
          </cell>
        </row>
        <row r="161">
          <cell r="B161" t="str">
            <v>Nakasa</v>
          </cell>
          <cell r="C161" t="str">
            <v>Chlorantraniliprole 4.3% + Abamectin 1.7% SC</v>
          </cell>
          <cell r="D161" t="str">
            <v>Cinza</v>
          </cell>
          <cell r="E161" t="str">
            <v>1000 ML</v>
          </cell>
          <cell r="F161">
            <v>1870</v>
          </cell>
          <cell r="G161">
            <v>18</v>
          </cell>
          <cell r="H161">
            <v>336.59999999999997</v>
          </cell>
          <cell r="I161">
            <v>2206.6</v>
          </cell>
        </row>
        <row r="162">
          <cell r="B162" t="str">
            <v>Nakasa</v>
          </cell>
          <cell r="C162" t="str">
            <v>Chlorantraniliprole 9.3% + Lambdacyhalothrin 4.6% ZC</v>
          </cell>
          <cell r="D162" t="str">
            <v>Lampigo</v>
          </cell>
          <cell r="E162" t="str">
            <v>50 ML</v>
          </cell>
          <cell r="F162">
            <v>167</v>
          </cell>
          <cell r="G162">
            <v>18</v>
          </cell>
          <cell r="H162">
            <v>30.06</v>
          </cell>
          <cell r="I162">
            <v>197.06</v>
          </cell>
        </row>
        <row r="163">
          <cell r="B163" t="str">
            <v>Nakasa</v>
          </cell>
          <cell r="C163" t="str">
            <v>Chlorantraniliprole 9.3% + Lambdacyhalothrin 4.6% ZC</v>
          </cell>
          <cell r="D163" t="str">
            <v>Lampigo</v>
          </cell>
          <cell r="E163" t="str">
            <v>100 ML</v>
          </cell>
          <cell r="F163">
            <v>297</v>
          </cell>
          <cell r="G163">
            <v>18</v>
          </cell>
          <cell r="H163">
            <v>53.46</v>
          </cell>
          <cell r="I163">
            <v>350.46</v>
          </cell>
        </row>
        <row r="164">
          <cell r="B164" t="str">
            <v>Nakasa</v>
          </cell>
          <cell r="C164" t="str">
            <v>Chlorantraniliprole 9.3% + Lambdacyhalothrin 4.6% ZC</v>
          </cell>
          <cell r="D164" t="str">
            <v>Lampigo</v>
          </cell>
          <cell r="E164" t="str">
            <v>200 ML</v>
          </cell>
          <cell r="F164">
            <v>558</v>
          </cell>
          <cell r="G164">
            <v>18</v>
          </cell>
          <cell r="H164">
            <v>100.44</v>
          </cell>
          <cell r="I164">
            <v>658.44</v>
          </cell>
        </row>
        <row r="165">
          <cell r="B165" t="str">
            <v>Nakasa</v>
          </cell>
          <cell r="C165" t="str">
            <v>Chlorantraniliprole 9.3% + Lambdacyhalothrin 4.6% ZC</v>
          </cell>
          <cell r="D165" t="str">
            <v>Lampigo</v>
          </cell>
          <cell r="E165" t="str">
            <v>500 ML</v>
          </cell>
          <cell r="F165">
            <v>1328</v>
          </cell>
          <cell r="G165">
            <v>18</v>
          </cell>
          <cell r="H165">
            <v>239.04</v>
          </cell>
          <cell r="I165">
            <v>1567.04</v>
          </cell>
        </row>
        <row r="166">
          <cell r="B166" t="str">
            <v>Nakasa</v>
          </cell>
          <cell r="C166" t="str">
            <v>Chlorantraniliprole 9.3% + Lambdacyhalothrin 4.6% ZC</v>
          </cell>
          <cell r="D166" t="str">
            <v>Lampigo</v>
          </cell>
          <cell r="E166" t="str">
            <v>1000 ML</v>
          </cell>
          <cell r="F166">
            <v>2610</v>
          </cell>
          <cell r="G166">
            <v>18</v>
          </cell>
          <cell r="H166">
            <v>469.79999999999995</v>
          </cell>
          <cell r="I166">
            <v>3079.8</v>
          </cell>
        </row>
        <row r="167">
          <cell r="B167" t="str">
            <v>Nakasa</v>
          </cell>
          <cell r="C167" t="str">
            <v>Novaluran 5.25% + Emamectin Benzoate 0.9% SC</v>
          </cell>
          <cell r="D167" t="str">
            <v>Rajveer</v>
          </cell>
          <cell r="E167" t="str">
            <v>50 ML</v>
          </cell>
          <cell r="F167">
            <v>117</v>
          </cell>
          <cell r="G167">
            <v>18</v>
          </cell>
          <cell r="H167">
            <v>21.06</v>
          </cell>
          <cell r="I167">
            <v>138.06</v>
          </cell>
        </row>
        <row r="168">
          <cell r="B168" t="str">
            <v>Nakasa</v>
          </cell>
          <cell r="C168" t="str">
            <v>Novaluran 5.25% + Emamectin Benzoate 0.9% SC</v>
          </cell>
          <cell r="D168" t="str">
            <v>Rajveer</v>
          </cell>
          <cell r="E168" t="str">
            <v>100 ML</v>
          </cell>
          <cell r="F168">
            <v>207</v>
          </cell>
          <cell r="G168">
            <v>18</v>
          </cell>
          <cell r="H168">
            <v>37.26</v>
          </cell>
          <cell r="I168">
            <v>244.26</v>
          </cell>
        </row>
        <row r="169">
          <cell r="B169" t="str">
            <v>Nakasa</v>
          </cell>
          <cell r="C169" t="str">
            <v>Novaluran 5.25% + Emamectin Benzoate 0.9% SC</v>
          </cell>
          <cell r="D169" t="str">
            <v>Rajveer</v>
          </cell>
          <cell r="E169" t="str">
            <v>250 ML</v>
          </cell>
          <cell r="F169">
            <v>473</v>
          </cell>
          <cell r="G169">
            <v>18</v>
          </cell>
          <cell r="H169">
            <v>85.14</v>
          </cell>
          <cell r="I169">
            <v>558.14</v>
          </cell>
        </row>
        <row r="170">
          <cell r="B170" t="str">
            <v>Nakasa</v>
          </cell>
          <cell r="C170" t="str">
            <v>Novaluran 5.25% + Emamectin Benzoate 0.9% SC</v>
          </cell>
          <cell r="D170" t="str">
            <v>Rajveer</v>
          </cell>
          <cell r="E170" t="str">
            <v>500 ML</v>
          </cell>
          <cell r="F170">
            <v>909</v>
          </cell>
          <cell r="G170">
            <v>18</v>
          </cell>
          <cell r="H170">
            <v>163.62</v>
          </cell>
          <cell r="I170">
            <v>1072.6199999999999</v>
          </cell>
        </row>
        <row r="171">
          <cell r="B171" t="str">
            <v>Nakasa</v>
          </cell>
          <cell r="C171" t="str">
            <v>Novaluran 5.25% + Emamectin Benzoate 0.9% SC</v>
          </cell>
          <cell r="D171" t="str">
            <v>Rajveer</v>
          </cell>
          <cell r="E171" t="str">
            <v>1000 ML</v>
          </cell>
          <cell r="F171">
            <v>1755</v>
          </cell>
          <cell r="G171">
            <v>18</v>
          </cell>
          <cell r="H171">
            <v>315.89999999999998</v>
          </cell>
          <cell r="I171">
            <v>2070.9</v>
          </cell>
        </row>
        <row r="172">
          <cell r="B172" t="str">
            <v>Nakasa</v>
          </cell>
          <cell r="C172" t="str">
            <v>Tricyclozole 75% WP</v>
          </cell>
          <cell r="D172" t="str">
            <v>Barron</v>
          </cell>
          <cell r="E172" t="str">
            <v>120 GMS</v>
          </cell>
          <cell r="F172">
            <v>170</v>
          </cell>
          <cell r="G172">
            <v>18</v>
          </cell>
          <cell r="H172">
            <v>30.599999999999998</v>
          </cell>
          <cell r="I172">
            <v>200.6</v>
          </cell>
        </row>
        <row r="173">
          <cell r="B173" t="str">
            <v>Nakasa</v>
          </cell>
          <cell r="C173" t="str">
            <v>Tricyclozole 75% WP</v>
          </cell>
          <cell r="D173" t="str">
            <v>Barron</v>
          </cell>
          <cell r="E173" t="str">
            <v>250 GMS</v>
          </cell>
          <cell r="F173">
            <v>320</v>
          </cell>
          <cell r="G173">
            <v>18</v>
          </cell>
          <cell r="H173">
            <v>57.599999999999994</v>
          </cell>
          <cell r="I173">
            <v>377.6</v>
          </cell>
        </row>
        <row r="174">
          <cell r="B174" t="str">
            <v>Nakasa</v>
          </cell>
          <cell r="C174" t="str">
            <v>Copper Oxychloride 50% WP</v>
          </cell>
          <cell r="D174" t="str">
            <v>COC</v>
          </cell>
          <cell r="E174" t="str">
            <v>250 GMS</v>
          </cell>
          <cell r="F174">
            <v>232</v>
          </cell>
          <cell r="G174">
            <v>18</v>
          </cell>
          <cell r="H174">
            <v>41.76</v>
          </cell>
          <cell r="I174">
            <v>273.76</v>
          </cell>
        </row>
        <row r="175">
          <cell r="B175" t="str">
            <v>Nakasa</v>
          </cell>
          <cell r="C175" t="str">
            <v>Copper Oxychloride 50% WP</v>
          </cell>
          <cell r="D175" t="str">
            <v>COC</v>
          </cell>
          <cell r="E175" t="str">
            <v>500 GMS</v>
          </cell>
          <cell r="F175">
            <v>440</v>
          </cell>
          <cell r="G175">
            <v>18</v>
          </cell>
          <cell r="H175">
            <v>79.2</v>
          </cell>
          <cell r="I175">
            <v>519.20000000000005</v>
          </cell>
        </row>
        <row r="176">
          <cell r="B176" t="str">
            <v>Nakasa</v>
          </cell>
          <cell r="C176" t="str">
            <v>Carbendazim 50% WP</v>
          </cell>
          <cell r="D176" t="str">
            <v>Halayudh</v>
          </cell>
          <cell r="E176" t="str">
            <v>100 GMS</v>
          </cell>
          <cell r="F176">
            <v>69</v>
          </cell>
          <cell r="G176">
            <v>18</v>
          </cell>
          <cell r="H176">
            <v>12.42</v>
          </cell>
          <cell r="I176">
            <v>81.42</v>
          </cell>
        </row>
        <row r="177">
          <cell r="B177" t="str">
            <v>Nakasa</v>
          </cell>
          <cell r="C177" t="str">
            <v>Carbendazim 50% WP</v>
          </cell>
          <cell r="D177" t="str">
            <v>Halayudh</v>
          </cell>
          <cell r="E177" t="str">
            <v>250 GMS</v>
          </cell>
          <cell r="F177">
            <v>155</v>
          </cell>
          <cell r="G177">
            <v>18</v>
          </cell>
          <cell r="H177">
            <v>27.9</v>
          </cell>
          <cell r="I177">
            <v>182.9</v>
          </cell>
        </row>
        <row r="178">
          <cell r="B178" t="str">
            <v>Nakasa</v>
          </cell>
          <cell r="C178" t="str">
            <v>Carbendazim 50% WP</v>
          </cell>
          <cell r="D178" t="str">
            <v>Halayudh</v>
          </cell>
          <cell r="E178" t="str">
            <v>500 GMS</v>
          </cell>
          <cell r="F178">
            <v>295</v>
          </cell>
          <cell r="G178">
            <v>18</v>
          </cell>
          <cell r="H178">
            <v>53.1</v>
          </cell>
          <cell r="I178">
            <v>348.1</v>
          </cell>
        </row>
        <row r="179">
          <cell r="B179" t="str">
            <v>Nakasa</v>
          </cell>
          <cell r="C179" t="str">
            <v>Carbendazim 50% WP</v>
          </cell>
          <cell r="D179" t="str">
            <v>Halayudh</v>
          </cell>
          <cell r="E179" t="str">
            <v>1000 GMS</v>
          </cell>
          <cell r="F179">
            <v>570</v>
          </cell>
          <cell r="G179">
            <v>18</v>
          </cell>
          <cell r="H179">
            <v>102.6</v>
          </cell>
          <cell r="I179">
            <v>672.6</v>
          </cell>
        </row>
        <row r="180">
          <cell r="B180" t="str">
            <v>Nakasa</v>
          </cell>
          <cell r="C180" t="str">
            <v>Mancozeb 75% WP</v>
          </cell>
          <cell r="D180" t="str">
            <v>Mzeb 45</v>
          </cell>
          <cell r="E180" t="str">
            <v>100 GMS</v>
          </cell>
          <cell r="F180">
            <v>68</v>
          </cell>
          <cell r="G180">
            <v>18</v>
          </cell>
          <cell r="H180">
            <v>12.24</v>
          </cell>
          <cell r="I180">
            <v>80.239999999999995</v>
          </cell>
        </row>
        <row r="181">
          <cell r="B181" t="str">
            <v>Nakasa</v>
          </cell>
          <cell r="C181" t="str">
            <v>Mancozeb 75% WP</v>
          </cell>
          <cell r="D181" t="str">
            <v>Mzeb 45</v>
          </cell>
          <cell r="E181" t="str">
            <v>250 GMS</v>
          </cell>
          <cell r="F181">
            <v>140</v>
          </cell>
          <cell r="G181">
            <v>18</v>
          </cell>
          <cell r="H181">
            <v>25.2</v>
          </cell>
          <cell r="I181">
            <v>165.2</v>
          </cell>
        </row>
        <row r="182">
          <cell r="B182" t="str">
            <v>Nakasa</v>
          </cell>
          <cell r="C182" t="str">
            <v>Mancozeb 75% WP</v>
          </cell>
          <cell r="D182" t="str">
            <v>Mzeb 45</v>
          </cell>
          <cell r="E182" t="str">
            <v>500 GMS</v>
          </cell>
          <cell r="F182">
            <v>260</v>
          </cell>
          <cell r="G182">
            <v>18</v>
          </cell>
          <cell r="H182">
            <v>46.8</v>
          </cell>
          <cell r="I182">
            <v>306.8</v>
          </cell>
        </row>
        <row r="183">
          <cell r="B183" t="str">
            <v>Nakasa</v>
          </cell>
          <cell r="C183" t="str">
            <v>Mancozeb 75% WP</v>
          </cell>
          <cell r="D183" t="str">
            <v>Mzeb 45</v>
          </cell>
          <cell r="E183" t="str">
            <v>1000 GMS</v>
          </cell>
          <cell r="F183">
            <v>495</v>
          </cell>
          <cell r="G183">
            <v>18</v>
          </cell>
          <cell r="H183">
            <v>89.1</v>
          </cell>
          <cell r="I183">
            <v>584.1</v>
          </cell>
        </row>
        <row r="184">
          <cell r="B184" t="str">
            <v>Nakasa</v>
          </cell>
          <cell r="C184" t="str">
            <v>Propineb 70% WP</v>
          </cell>
          <cell r="D184" t="str">
            <v>Valet</v>
          </cell>
          <cell r="E184" t="str">
            <v>100 GMS</v>
          </cell>
          <cell r="F184">
            <v>81</v>
          </cell>
          <cell r="G184">
            <v>18</v>
          </cell>
          <cell r="H184">
            <v>14.58</v>
          </cell>
          <cell r="I184">
            <v>95.58</v>
          </cell>
        </row>
        <row r="185">
          <cell r="B185" t="str">
            <v>Nakasa</v>
          </cell>
          <cell r="C185" t="str">
            <v>Propineb 70% WP</v>
          </cell>
          <cell r="D185" t="str">
            <v>Valet</v>
          </cell>
          <cell r="E185" t="str">
            <v>250 GMS</v>
          </cell>
          <cell r="F185">
            <v>176</v>
          </cell>
          <cell r="G185">
            <v>18</v>
          </cell>
          <cell r="H185">
            <v>31.68</v>
          </cell>
          <cell r="I185">
            <v>207.68</v>
          </cell>
        </row>
        <row r="186">
          <cell r="B186" t="str">
            <v>Nakasa</v>
          </cell>
          <cell r="C186" t="str">
            <v>Propineb 70% WP</v>
          </cell>
          <cell r="D186" t="str">
            <v>Valet</v>
          </cell>
          <cell r="E186" t="str">
            <v>500 GMS</v>
          </cell>
          <cell r="F186">
            <v>337</v>
          </cell>
          <cell r="G186">
            <v>18</v>
          </cell>
          <cell r="H186">
            <v>60.66</v>
          </cell>
          <cell r="I186">
            <v>397.65999999999997</v>
          </cell>
        </row>
        <row r="187">
          <cell r="B187" t="str">
            <v>Nakasa</v>
          </cell>
          <cell r="C187" t="str">
            <v>Propineb 70% WP</v>
          </cell>
          <cell r="D187" t="str">
            <v>Valet</v>
          </cell>
          <cell r="E187" t="str">
            <v>1000 GMS</v>
          </cell>
          <cell r="F187">
            <v>660</v>
          </cell>
          <cell r="G187">
            <v>18</v>
          </cell>
          <cell r="H187">
            <v>118.8</v>
          </cell>
          <cell r="I187">
            <v>778.8</v>
          </cell>
        </row>
        <row r="188">
          <cell r="B188" t="str">
            <v>Nakasa</v>
          </cell>
          <cell r="C188" t="str">
            <v>Hexaconazole 5% SC</v>
          </cell>
          <cell r="D188" t="str">
            <v>Texona Plus</v>
          </cell>
          <cell r="E188" t="str">
            <v>100 ML</v>
          </cell>
          <cell r="F188">
            <v>51</v>
          </cell>
          <cell r="G188">
            <v>18</v>
          </cell>
          <cell r="H188">
            <v>9.18</v>
          </cell>
          <cell r="I188">
            <v>60.18</v>
          </cell>
        </row>
        <row r="189">
          <cell r="B189" t="str">
            <v>Nakasa</v>
          </cell>
          <cell r="C189" t="str">
            <v>Hexaconazole 5% SC</v>
          </cell>
          <cell r="D189" t="str">
            <v>Texona Plus</v>
          </cell>
          <cell r="E189" t="str">
            <v>250 ML</v>
          </cell>
          <cell r="F189">
            <v>90</v>
          </cell>
          <cell r="G189">
            <v>18</v>
          </cell>
          <cell r="H189">
            <v>16.2</v>
          </cell>
          <cell r="I189">
            <v>106.2</v>
          </cell>
        </row>
        <row r="190">
          <cell r="B190" t="str">
            <v>Nakasa</v>
          </cell>
          <cell r="C190" t="str">
            <v>Hexaconazole 5% SC</v>
          </cell>
          <cell r="D190" t="str">
            <v>Texona Plus</v>
          </cell>
          <cell r="E190" t="str">
            <v>500 ML</v>
          </cell>
          <cell r="F190">
            <v>147</v>
          </cell>
          <cell r="G190">
            <v>18</v>
          </cell>
          <cell r="H190">
            <v>26.459999999999997</v>
          </cell>
          <cell r="I190">
            <v>173.46</v>
          </cell>
        </row>
        <row r="191">
          <cell r="B191" t="str">
            <v>Nakasa</v>
          </cell>
          <cell r="C191" t="str">
            <v>Hexaconazole 5% SC</v>
          </cell>
          <cell r="D191" t="str">
            <v>Texona Plus</v>
          </cell>
          <cell r="E191" t="str">
            <v>1000 ML</v>
          </cell>
          <cell r="F191">
            <v>252</v>
          </cell>
          <cell r="G191">
            <v>18</v>
          </cell>
          <cell r="H191">
            <v>45.36</v>
          </cell>
          <cell r="I191">
            <v>297.36</v>
          </cell>
        </row>
        <row r="192">
          <cell r="B192" t="str">
            <v>Nakasa</v>
          </cell>
          <cell r="C192" t="str">
            <v>Hexaconazole 5% SC</v>
          </cell>
          <cell r="D192" t="str">
            <v>Texona Plus</v>
          </cell>
          <cell r="E192" t="str">
            <v>5000 ML</v>
          </cell>
          <cell r="F192">
            <v>1140</v>
          </cell>
          <cell r="G192">
            <v>18</v>
          </cell>
          <cell r="H192">
            <v>205.2</v>
          </cell>
          <cell r="I192">
            <v>1345.2</v>
          </cell>
        </row>
        <row r="193">
          <cell r="B193" t="str">
            <v>Nakasa</v>
          </cell>
          <cell r="C193" t="str">
            <v>Propiconazole 25% EC</v>
          </cell>
          <cell r="D193" t="str">
            <v>Trinket</v>
          </cell>
          <cell r="E193" t="str">
            <v>100 ML</v>
          </cell>
          <cell r="F193">
            <v>113</v>
          </cell>
          <cell r="G193">
            <v>18</v>
          </cell>
          <cell r="H193">
            <v>20.34</v>
          </cell>
          <cell r="I193">
            <v>133.34</v>
          </cell>
        </row>
        <row r="194">
          <cell r="B194" t="str">
            <v>Nakasa</v>
          </cell>
          <cell r="C194" t="str">
            <v>Propiconazole 25% EC</v>
          </cell>
          <cell r="D194" t="str">
            <v>Trinket</v>
          </cell>
          <cell r="E194" t="str">
            <v>250 ML</v>
          </cell>
          <cell r="F194">
            <v>257</v>
          </cell>
          <cell r="G194">
            <v>18</v>
          </cell>
          <cell r="H194">
            <v>46.26</v>
          </cell>
          <cell r="I194">
            <v>303.26</v>
          </cell>
        </row>
        <row r="195">
          <cell r="B195" t="str">
            <v>Nakasa</v>
          </cell>
          <cell r="C195" t="str">
            <v>Propiconazole 25% EC</v>
          </cell>
          <cell r="D195" t="str">
            <v>Trinket</v>
          </cell>
          <cell r="E195" t="str">
            <v>500 ML</v>
          </cell>
          <cell r="F195">
            <v>473</v>
          </cell>
          <cell r="G195">
            <v>18</v>
          </cell>
          <cell r="H195">
            <v>85.14</v>
          </cell>
          <cell r="I195">
            <v>558.14</v>
          </cell>
        </row>
        <row r="196">
          <cell r="B196" t="str">
            <v>Nakasa</v>
          </cell>
          <cell r="C196" t="str">
            <v>Propiconazole 25% EC</v>
          </cell>
          <cell r="D196" t="str">
            <v>Trinket</v>
          </cell>
          <cell r="E196" t="str">
            <v>1000 ML</v>
          </cell>
          <cell r="F196">
            <v>923</v>
          </cell>
          <cell r="G196">
            <v>18</v>
          </cell>
          <cell r="H196">
            <v>166.14</v>
          </cell>
          <cell r="I196">
            <v>1089.1399999999999</v>
          </cell>
        </row>
        <row r="197">
          <cell r="B197" t="str">
            <v>Nakasa</v>
          </cell>
          <cell r="C197" t="str">
            <v>Sulpher 65% + Tebuconazole 10% WG</v>
          </cell>
          <cell r="D197" t="str">
            <v>Jara</v>
          </cell>
          <cell r="E197" t="str">
            <v>100 GMS</v>
          </cell>
          <cell r="F197">
            <v>72</v>
          </cell>
          <cell r="G197">
            <v>18</v>
          </cell>
          <cell r="H197">
            <v>12.959999999999999</v>
          </cell>
          <cell r="I197">
            <v>84.96</v>
          </cell>
        </row>
        <row r="198">
          <cell r="B198" t="str">
            <v>Nakasa</v>
          </cell>
          <cell r="C198" t="str">
            <v>Sulpher 65% + Tebuconazole 10% WG</v>
          </cell>
          <cell r="D198" t="str">
            <v>Jara</v>
          </cell>
          <cell r="E198" t="str">
            <v>250 GMS</v>
          </cell>
          <cell r="F198">
            <v>117</v>
          </cell>
          <cell r="G198">
            <v>18</v>
          </cell>
          <cell r="H198">
            <v>21.06</v>
          </cell>
          <cell r="I198">
            <v>138.06</v>
          </cell>
        </row>
        <row r="199">
          <cell r="B199" t="str">
            <v>Nakasa</v>
          </cell>
          <cell r="C199" t="str">
            <v>Sulpher 65% + Tebuconazole 10% WG</v>
          </cell>
          <cell r="D199" t="str">
            <v>Jara</v>
          </cell>
          <cell r="E199" t="str">
            <v>500 GMS</v>
          </cell>
          <cell r="F199">
            <v>225</v>
          </cell>
          <cell r="G199">
            <v>18</v>
          </cell>
          <cell r="H199">
            <v>40.5</v>
          </cell>
          <cell r="I199">
            <v>265.5</v>
          </cell>
        </row>
        <row r="200">
          <cell r="B200" t="str">
            <v>Nakasa</v>
          </cell>
          <cell r="C200" t="str">
            <v>Sulpher 65% + Tebuconazole 10% WG</v>
          </cell>
          <cell r="D200" t="str">
            <v>Jara</v>
          </cell>
          <cell r="E200" t="str">
            <v>1000 GMS</v>
          </cell>
          <cell r="F200">
            <v>405</v>
          </cell>
          <cell r="G200">
            <v>18</v>
          </cell>
          <cell r="H200">
            <v>72.899999999999991</v>
          </cell>
          <cell r="I200">
            <v>477.9</v>
          </cell>
        </row>
        <row r="201">
          <cell r="B201" t="str">
            <v>Nakasa</v>
          </cell>
          <cell r="C201" t="str">
            <v>Carbendazim 12% + Mancozeb 63% WP</v>
          </cell>
          <cell r="D201" t="str">
            <v>Saleela</v>
          </cell>
          <cell r="E201" t="str">
            <v>100 GMS</v>
          </cell>
          <cell r="F201">
            <v>70</v>
          </cell>
          <cell r="G201">
            <v>18</v>
          </cell>
          <cell r="H201">
            <v>12.6</v>
          </cell>
          <cell r="I201">
            <v>82.6</v>
          </cell>
        </row>
        <row r="202">
          <cell r="B202" t="str">
            <v>Nakasa</v>
          </cell>
          <cell r="C202" t="str">
            <v>Carbendazim 12% + Mancozeb 63% WP</v>
          </cell>
          <cell r="D202" t="str">
            <v>Saleela</v>
          </cell>
          <cell r="E202" t="str">
            <v>250 GMS</v>
          </cell>
          <cell r="F202">
            <v>155</v>
          </cell>
          <cell r="G202">
            <v>18</v>
          </cell>
          <cell r="H202">
            <v>27.9</v>
          </cell>
          <cell r="I202">
            <v>182.9</v>
          </cell>
        </row>
        <row r="203">
          <cell r="B203" t="str">
            <v>Nakasa</v>
          </cell>
          <cell r="C203" t="str">
            <v>Carbendazim 12% + Mancozeb 63% WP</v>
          </cell>
          <cell r="D203" t="str">
            <v>Saleela</v>
          </cell>
          <cell r="E203" t="str">
            <v>500 GMS</v>
          </cell>
          <cell r="F203">
            <v>290</v>
          </cell>
          <cell r="G203">
            <v>18</v>
          </cell>
          <cell r="H203">
            <v>52.199999999999996</v>
          </cell>
          <cell r="I203">
            <v>342.2</v>
          </cell>
        </row>
        <row r="204">
          <cell r="B204" t="str">
            <v>Nakasa</v>
          </cell>
          <cell r="C204" t="str">
            <v>Carbendazim 12% + Mancozeb 63% WP</v>
          </cell>
          <cell r="D204" t="str">
            <v>Saleela</v>
          </cell>
          <cell r="E204" t="str">
            <v>1000 GMS</v>
          </cell>
          <cell r="F204">
            <v>565</v>
          </cell>
          <cell r="G204">
            <v>18</v>
          </cell>
          <cell r="H204">
            <v>101.7</v>
          </cell>
          <cell r="I204">
            <v>666.7</v>
          </cell>
        </row>
        <row r="205">
          <cell r="B205" t="str">
            <v>Nakasa</v>
          </cell>
          <cell r="C205" t="str">
            <v>Azoxystrobin 18.2% + Difenconazole 11.4% SC</v>
          </cell>
          <cell r="D205" t="str">
            <v>Manjima Top</v>
          </cell>
          <cell r="E205" t="str">
            <v>100 ML</v>
          </cell>
          <cell r="F205">
            <v>191</v>
          </cell>
          <cell r="G205">
            <v>18</v>
          </cell>
          <cell r="H205">
            <v>34.379999999999995</v>
          </cell>
          <cell r="I205">
            <v>225.38</v>
          </cell>
        </row>
        <row r="206">
          <cell r="B206" t="str">
            <v>Nakasa</v>
          </cell>
          <cell r="C206" t="str">
            <v>Azoxystrobin 18.2% + Difenconazole 11.4% SC</v>
          </cell>
          <cell r="D206" t="str">
            <v>Manjima Top</v>
          </cell>
          <cell r="E206" t="str">
            <v>250 ML</v>
          </cell>
          <cell r="F206">
            <v>463</v>
          </cell>
          <cell r="G206">
            <v>18</v>
          </cell>
          <cell r="H206">
            <v>83.34</v>
          </cell>
          <cell r="I206">
            <v>546.34</v>
          </cell>
        </row>
        <row r="207">
          <cell r="B207" t="str">
            <v>Nakasa</v>
          </cell>
          <cell r="C207" t="str">
            <v>Azoxystrobin 18.2% + Difenconazole 11.4% SC</v>
          </cell>
          <cell r="D207" t="str">
            <v>Manjima Top</v>
          </cell>
          <cell r="E207" t="str">
            <v>500 ML</v>
          </cell>
          <cell r="F207">
            <v>893</v>
          </cell>
          <cell r="G207">
            <v>18</v>
          </cell>
          <cell r="H207">
            <v>160.73999999999998</v>
          </cell>
          <cell r="I207">
            <v>1053.74</v>
          </cell>
        </row>
        <row r="208">
          <cell r="B208" t="str">
            <v>Nakasa</v>
          </cell>
          <cell r="C208" t="str">
            <v>Azoxystrobin 18.2% + Difenconazole 11.4% SC</v>
          </cell>
          <cell r="D208" t="str">
            <v>Manjima Top</v>
          </cell>
          <cell r="E208" t="str">
            <v>1000 ML</v>
          </cell>
          <cell r="F208">
            <v>1700</v>
          </cell>
          <cell r="G208">
            <v>18</v>
          </cell>
          <cell r="H208">
            <v>306</v>
          </cell>
          <cell r="I208">
            <v>2006</v>
          </cell>
        </row>
        <row r="209">
          <cell r="B209" t="str">
            <v>Nakasa</v>
          </cell>
          <cell r="C209" t="str">
            <v>Azoxystrobin 11% EW + Tebuconazole 18.3% SC</v>
          </cell>
          <cell r="D209" t="str">
            <v>Taradhipa</v>
          </cell>
          <cell r="E209" t="str">
            <v>100 ML</v>
          </cell>
          <cell r="F209">
            <v>123</v>
          </cell>
          <cell r="G209">
            <v>18</v>
          </cell>
          <cell r="H209">
            <v>22.14</v>
          </cell>
          <cell r="I209">
            <v>145.13999999999999</v>
          </cell>
        </row>
        <row r="210">
          <cell r="B210" t="str">
            <v>Nakasa</v>
          </cell>
          <cell r="C210" t="str">
            <v>Azoxystrobin 11% EW + Tebuconazole 18.3% SC</v>
          </cell>
          <cell r="D210" t="str">
            <v>Taradhipa</v>
          </cell>
          <cell r="E210" t="str">
            <v>250 ML</v>
          </cell>
          <cell r="F210">
            <v>276</v>
          </cell>
          <cell r="G210">
            <v>18</v>
          </cell>
          <cell r="H210">
            <v>49.68</v>
          </cell>
          <cell r="I210">
            <v>325.68</v>
          </cell>
        </row>
        <row r="211">
          <cell r="B211" t="str">
            <v>Nakasa</v>
          </cell>
          <cell r="C211" t="str">
            <v>Azoxystrobin 11% EW + Tebuconazole 18.3% SC</v>
          </cell>
          <cell r="D211" t="str">
            <v>Taradhipa</v>
          </cell>
          <cell r="E211" t="str">
            <v>500 ML</v>
          </cell>
          <cell r="F211">
            <v>531</v>
          </cell>
          <cell r="G211">
            <v>18</v>
          </cell>
          <cell r="H211">
            <v>95.58</v>
          </cell>
          <cell r="I211">
            <v>626.58000000000004</v>
          </cell>
        </row>
        <row r="212">
          <cell r="B212" t="str">
            <v>Nakasa</v>
          </cell>
          <cell r="C212" t="str">
            <v>Azoxystrobin 11% EW + Tebuconazole 18.3% SC</v>
          </cell>
          <cell r="D212" t="str">
            <v>Taradhipa</v>
          </cell>
          <cell r="E212" t="str">
            <v>1000 ML</v>
          </cell>
          <cell r="F212">
            <v>1033</v>
          </cell>
          <cell r="G212">
            <v>18</v>
          </cell>
          <cell r="H212">
            <v>185.94</v>
          </cell>
          <cell r="I212">
            <v>1218.94</v>
          </cell>
        </row>
        <row r="213">
          <cell r="B213" t="str">
            <v>Nakasa</v>
          </cell>
          <cell r="C213" t="str">
            <v>Captan 70% + Hexaconazole 5% WP</v>
          </cell>
          <cell r="D213" t="str">
            <v>Naaqat</v>
          </cell>
          <cell r="E213" t="str">
            <v>100 GMS</v>
          </cell>
          <cell r="F213">
            <v>98</v>
          </cell>
          <cell r="G213">
            <v>18</v>
          </cell>
          <cell r="H213">
            <v>17.64</v>
          </cell>
          <cell r="I213">
            <v>115.64</v>
          </cell>
        </row>
        <row r="214">
          <cell r="B214" t="str">
            <v>Nakasa</v>
          </cell>
          <cell r="C214" t="str">
            <v>Captan 70% + Hexaconazole 5% WP</v>
          </cell>
          <cell r="D214" t="str">
            <v>Naaqat</v>
          </cell>
          <cell r="E214" t="str">
            <v>250 GMS</v>
          </cell>
          <cell r="F214">
            <v>214</v>
          </cell>
          <cell r="G214">
            <v>18</v>
          </cell>
          <cell r="H214">
            <v>38.519999999999996</v>
          </cell>
          <cell r="I214">
            <v>252.51999999999998</v>
          </cell>
        </row>
        <row r="215">
          <cell r="B215" t="str">
            <v>Nakasa</v>
          </cell>
          <cell r="C215" t="str">
            <v>Captan 70% + Hexaconazole 5% WP</v>
          </cell>
          <cell r="D215" t="str">
            <v>Naaqat</v>
          </cell>
          <cell r="E215" t="str">
            <v>500 GMS</v>
          </cell>
          <cell r="F215">
            <v>390</v>
          </cell>
          <cell r="G215">
            <v>18</v>
          </cell>
          <cell r="H215">
            <v>70.2</v>
          </cell>
          <cell r="I215">
            <v>460.2</v>
          </cell>
        </row>
        <row r="216">
          <cell r="B216" t="str">
            <v>Nakasa</v>
          </cell>
          <cell r="C216" t="str">
            <v>Captan 70% + Hexaconazole 5% WP</v>
          </cell>
          <cell r="D216" t="str">
            <v>Naaqat</v>
          </cell>
          <cell r="E216" t="str">
            <v>1000 GMS</v>
          </cell>
          <cell r="F216">
            <v>760</v>
          </cell>
          <cell r="G216">
            <v>18</v>
          </cell>
          <cell r="H216">
            <v>136.79999999999998</v>
          </cell>
          <cell r="I216">
            <v>896.8</v>
          </cell>
        </row>
        <row r="217">
          <cell r="B217" t="str">
            <v>Nakasa</v>
          </cell>
          <cell r="C217" t="str">
            <v>Metribuzin 70% WP</v>
          </cell>
          <cell r="D217" t="str">
            <v>Scar 70</v>
          </cell>
          <cell r="E217" t="str">
            <v>100 GMS</v>
          </cell>
          <cell r="F217">
            <v>126</v>
          </cell>
          <cell r="G217">
            <v>18</v>
          </cell>
          <cell r="H217">
            <v>22.68</v>
          </cell>
          <cell r="I217">
            <v>148.68</v>
          </cell>
        </row>
        <row r="218">
          <cell r="B218" t="str">
            <v>Nakasa</v>
          </cell>
          <cell r="C218" t="str">
            <v>Metribuzin 70% WP</v>
          </cell>
          <cell r="D218" t="str">
            <v>Scar 70</v>
          </cell>
          <cell r="E218" t="str">
            <v>250 GMS</v>
          </cell>
          <cell r="F218">
            <v>292</v>
          </cell>
          <cell r="G218">
            <v>18</v>
          </cell>
          <cell r="H218">
            <v>52.559999999999995</v>
          </cell>
          <cell r="I218">
            <v>344.56</v>
          </cell>
        </row>
        <row r="219">
          <cell r="B219" t="str">
            <v>Nakasa</v>
          </cell>
          <cell r="C219" t="str">
            <v>Metribuzin 70% WP</v>
          </cell>
          <cell r="D219" t="str">
            <v>Scar 70</v>
          </cell>
          <cell r="E219" t="str">
            <v>500 GMS</v>
          </cell>
          <cell r="F219">
            <v>560</v>
          </cell>
          <cell r="G219">
            <v>18</v>
          </cell>
          <cell r="H219">
            <v>100.8</v>
          </cell>
          <cell r="I219">
            <v>660.8</v>
          </cell>
        </row>
        <row r="220">
          <cell r="B220" t="str">
            <v>Nakasa</v>
          </cell>
          <cell r="C220" t="str">
            <v>Metribuzin 70% WP</v>
          </cell>
          <cell r="D220" t="str">
            <v>Scar 70</v>
          </cell>
          <cell r="E220" t="str">
            <v>1000 GMS</v>
          </cell>
          <cell r="F220">
            <v>1080</v>
          </cell>
          <cell r="G220">
            <v>18</v>
          </cell>
          <cell r="H220">
            <v>194.4</v>
          </cell>
          <cell r="I220">
            <v>1274.4000000000001</v>
          </cell>
        </row>
        <row r="221">
          <cell r="B221" t="str">
            <v>Nakasa</v>
          </cell>
          <cell r="C221" t="str">
            <v>Pretilachlor 50% EC</v>
          </cell>
          <cell r="D221" t="str">
            <v>Primpton</v>
          </cell>
          <cell r="E221" t="str">
            <v>250 ML</v>
          </cell>
          <cell r="F221">
            <v>145</v>
          </cell>
          <cell r="G221">
            <v>18</v>
          </cell>
          <cell r="H221">
            <v>26.099999999999998</v>
          </cell>
          <cell r="I221">
            <v>171.1</v>
          </cell>
        </row>
        <row r="222">
          <cell r="B222" t="str">
            <v>Nakasa</v>
          </cell>
          <cell r="C222" t="str">
            <v>Pretilachlor 50% EC</v>
          </cell>
          <cell r="D222" t="str">
            <v>Primpton</v>
          </cell>
          <cell r="E222" t="str">
            <v>500 ML</v>
          </cell>
          <cell r="F222">
            <v>281</v>
          </cell>
          <cell r="G222">
            <v>18</v>
          </cell>
          <cell r="H222">
            <v>50.58</v>
          </cell>
          <cell r="I222">
            <v>331.58</v>
          </cell>
        </row>
        <row r="223">
          <cell r="B223" t="str">
            <v>Nakasa</v>
          </cell>
          <cell r="C223" t="str">
            <v>Pretilachlor 50% EC</v>
          </cell>
          <cell r="D223" t="str">
            <v>Primpton</v>
          </cell>
          <cell r="E223" t="str">
            <v>1000 ML</v>
          </cell>
          <cell r="F223">
            <v>531</v>
          </cell>
          <cell r="G223">
            <v>18</v>
          </cell>
          <cell r="H223">
            <v>95.58</v>
          </cell>
          <cell r="I223">
            <v>626.58000000000004</v>
          </cell>
        </row>
        <row r="224">
          <cell r="B224" t="str">
            <v>Nakasa</v>
          </cell>
          <cell r="C224" t="str">
            <v>Paraquat Dichloride 24% SL</v>
          </cell>
          <cell r="D224" t="str">
            <v>Speedy</v>
          </cell>
          <cell r="E224" t="str">
            <v>250 ML</v>
          </cell>
          <cell r="F224">
            <v>74</v>
          </cell>
          <cell r="G224">
            <v>18</v>
          </cell>
          <cell r="H224">
            <v>13.32</v>
          </cell>
          <cell r="I224">
            <v>87.32</v>
          </cell>
        </row>
        <row r="225">
          <cell r="B225" t="str">
            <v>Nakasa</v>
          </cell>
          <cell r="C225" t="str">
            <v>Paraquat Dichloride 24% SL</v>
          </cell>
          <cell r="D225" t="str">
            <v>Speedy</v>
          </cell>
          <cell r="E225" t="str">
            <v>500 ML</v>
          </cell>
          <cell r="F225">
            <v>128</v>
          </cell>
          <cell r="G225">
            <v>18</v>
          </cell>
          <cell r="H225">
            <v>23.04</v>
          </cell>
          <cell r="I225">
            <v>151.04</v>
          </cell>
        </row>
        <row r="226">
          <cell r="B226" t="str">
            <v>Nakasa</v>
          </cell>
          <cell r="C226" t="str">
            <v>Paraquat Dichloride 24% SL</v>
          </cell>
          <cell r="D226" t="str">
            <v>Speedy</v>
          </cell>
          <cell r="E226" t="str">
            <v>1000 ML</v>
          </cell>
          <cell r="F226">
            <v>233</v>
          </cell>
          <cell r="G226">
            <v>18</v>
          </cell>
          <cell r="H226">
            <v>41.94</v>
          </cell>
          <cell r="I226">
            <v>274.94</v>
          </cell>
        </row>
        <row r="227">
          <cell r="B227" t="str">
            <v>Nakasa</v>
          </cell>
          <cell r="C227" t="str">
            <v>Paraquat Dichloride 24% SL</v>
          </cell>
          <cell r="D227" t="str">
            <v>Speedy</v>
          </cell>
          <cell r="E227" t="str">
            <v>5000 ML</v>
          </cell>
          <cell r="F227">
            <v>1144</v>
          </cell>
          <cell r="G227">
            <v>18</v>
          </cell>
          <cell r="H227">
            <v>205.92</v>
          </cell>
          <cell r="I227">
            <v>1349.92</v>
          </cell>
        </row>
        <row r="228">
          <cell r="B228" t="str">
            <v>Nakasa</v>
          </cell>
          <cell r="C228" t="str">
            <v>Pendimethalin 38.7% CS</v>
          </cell>
          <cell r="D228" t="str">
            <v>Randal Royal</v>
          </cell>
          <cell r="E228" t="str">
            <v>350 ML</v>
          </cell>
          <cell r="F228">
            <v>192</v>
          </cell>
          <cell r="G228">
            <v>18</v>
          </cell>
          <cell r="H228">
            <v>34.56</v>
          </cell>
          <cell r="I228">
            <v>226.56</v>
          </cell>
        </row>
        <row r="229">
          <cell r="B229" t="str">
            <v>Nakasa</v>
          </cell>
          <cell r="C229" t="str">
            <v>Pendimethalin 38.7% CS</v>
          </cell>
          <cell r="D229" t="str">
            <v>Randal Royal</v>
          </cell>
          <cell r="E229" t="str">
            <v>700 ML</v>
          </cell>
          <cell r="F229">
            <v>360</v>
          </cell>
          <cell r="G229">
            <v>18</v>
          </cell>
          <cell r="H229">
            <v>64.8</v>
          </cell>
          <cell r="I229">
            <v>424.8</v>
          </cell>
        </row>
        <row r="230">
          <cell r="B230" t="str">
            <v>Nakasa</v>
          </cell>
          <cell r="C230" t="str">
            <v>Pendimethalin 38.7% CS</v>
          </cell>
          <cell r="D230" t="str">
            <v>Randal Royal</v>
          </cell>
          <cell r="E230" t="str">
            <v>3500 ML</v>
          </cell>
          <cell r="F230">
            <v>1760</v>
          </cell>
          <cell r="G230">
            <v>18</v>
          </cell>
          <cell r="H230">
            <v>316.8</v>
          </cell>
          <cell r="I230">
            <v>2076.8000000000002</v>
          </cell>
        </row>
        <row r="231">
          <cell r="B231" t="str">
            <v>Nakasa</v>
          </cell>
          <cell r="C231" t="str">
            <v>Bispyribac Sodium 10% SC</v>
          </cell>
          <cell r="D231" t="str">
            <v>Nakasa Gold</v>
          </cell>
          <cell r="E231" t="str">
            <v>50 ML</v>
          </cell>
          <cell r="F231">
            <v>90</v>
          </cell>
          <cell r="G231">
            <v>18</v>
          </cell>
          <cell r="H231">
            <v>16.2</v>
          </cell>
          <cell r="I231">
            <v>106.2</v>
          </cell>
        </row>
        <row r="232">
          <cell r="B232" t="str">
            <v>Nakasa</v>
          </cell>
          <cell r="C232" t="str">
            <v>Bispyribac Sodium 10% SC</v>
          </cell>
          <cell r="D232" t="str">
            <v>Nakasa Gold</v>
          </cell>
          <cell r="E232" t="str">
            <v>100 ML</v>
          </cell>
          <cell r="F232">
            <v>167</v>
          </cell>
          <cell r="G232">
            <v>18</v>
          </cell>
          <cell r="H232">
            <v>30.06</v>
          </cell>
          <cell r="I232">
            <v>197.06</v>
          </cell>
        </row>
        <row r="233">
          <cell r="B233" t="str">
            <v>Nakasa</v>
          </cell>
          <cell r="C233" t="str">
            <v>Bispyribac Sodium 10% SC</v>
          </cell>
          <cell r="D233" t="str">
            <v>Nakasa Gold</v>
          </cell>
          <cell r="E233" t="str">
            <v>200 ML</v>
          </cell>
          <cell r="F233">
            <v>306</v>
          </cell>
          <cell r="G233">
            <v>18</v>
          </cell>
          <cell r="H233">
            <v>55.08</v>
          </cell>
          <cell r="I233">
            <v>361.08</v>
          </cell>
        </row>
        <row r="234">
          <cell r="B234" t="str">
            <v>Nakasa</v>
          </cell>
          <cell r="C234" t="str">
            <v>Bispyribac Sodium 10% SC</v>
          </cell>
          <cell r="D234" t="str">
            <v>Nakasa Gold</v>
          </cell>
          <cell r="E234" t="str">
            <v>500 ML</v>
          </cell>
          <cell r="F234">
            <v>693</v>
          </cell>
          <cell r="G234">
            <v>18</v>
          </cell>
          <cell r="H234">
            <v>124.74</v>
          </cell>
          <cell r="I234">
            <v>817.74</v>
          </cell>
        </row>
        <row r="235">
          <cell r="B235" t="str">
            <v>Nakasa</v>
          </cell>
          <cell r="C235" t="str">
            <v>Bispyribac Sodium 10% SC</v>
          </cell>
          <cell r="D235" t="str">
            <v>Nakasa Gold</v>
          </cell>
          <cell r="E235" t="str">
            <v>1000 ML</v>
          </cell>
          <cell r="F235">
            <v>1328</v>
          </cell>
          <cell r="G235">
            <v>18</v>
          </cell>
          <cell r="H235">
            <v>239.04</v>
          </cell>
          <cell r="I235">
            <v>1567.04</v>
          </cell>
        </row>
        <row r="236">
          <cell r="B236" t="str">
            <v>Nakasa</v>
          </cell>
          <cell r="C236" t="str">
            <v>Glufisonate Ammonium 13.5% SL</v>
          </cell>
          <cell r="D236" t="str">
            <v>Glu Power</v>
          </cell>
          <cell r="E236" t="str">
            <v>250 ML</v>
          </cell>
          <cell r="F236">
            <v>126</v>
          </cell>
          <cell r="G236">
            <v>18</v>
          </cell>
          <cell r="H236">
            <v>22.68</v>
          </cell>
          <cell r="I236">
            <v>148.68</v>
          </cell>
        </row>
        <row r="237">
          <cell r="B237" t="str">
            <v>Nakasa</v>
          </cell>
          <cell r="C237" t="str">
            <v>Glufisonate Ammonium 13.5% SL</v>
          </cell>
          <cell r="D237" t="str">
            <v>Glu Power</v>
          </cell>
          <cell r="E237" t="str">
            <v>500 ML</v>
          </cell>
          <cell r="F237">
            <v>234</v>
          </cell>
          <cell r="G237">
            <v>18</v>
          </cell>
          <cell r="H237">
            <v>42.12</v>
          </cell>
          <cell r="I237">
            <v>276.12</v>
          </cell>
        </row>
        <row r="238">
          <cell r="B238" t="str">
            <v>Nakasa</v>
          </cell>
          <cell r="C238" t="str">
            <v>Glufisonate Ammonium 13.5% SL</v>
          </cell>
          <cell r="D238" t="str">
            <v>Glu Power</v>
          </cell>
          <cell r="E238" t="str">
            <v>1000 ML</v>
          </cell>
          <cell r="F238">
            <v>450</v>
          </cell>
          <cell r="G238">
            <v>18</v>
          </cell>
          <cell r="H238">
            <v>81</v>
          </cell>
          <cell r="I238">
            <v>531</v>
          </cell>
        </row>
        <row r="239">
          <cell r="B239" t="str">
            <v>Nakasa</v>
          </cell>
          <cell r="C239" t="str">
            <v>Glufisonate Ammonium 13.5% SL</v>
          </cell>
          <cell r="D239" t="str">
            <v>Glu Power</v>
          </cell>
          <cell r="E239" t="str">
            <v>5000 ML</v>
          </cell>
          <cell r="F239">
            <v>2205</v>
          </cell>
          <cell r="G239">
            <v>18</v>
          </cell>
          <cell r="H239">
            <v>396.9</v>
          </cell>
          <cell r="I239">
            <v>2601.9</v>
          </cell>
        </row>
        <row r="240">
          <cell r="B240" t="str">
            <v>Nakasa</v>
          </cell>
          <cell r="C240" t="str">
            <v>Cyhalofop Butyl 5.1% + Penoxsulam 1.02% OD</v>
          </cell>
          <cell r="D240" t="str">
            <v>Zaya</v>
          </cell>
          <cell r="E240" t="str">
            <v>200 ML</v>
          </cell>
          <cell r="F240">
            <v>252</v>
          </cell>
          <cell r="G240">
            <v>18</v>
          </cell>
          <cell r="H240">
            <v>45.36</v>
          </cell>
          <cell r="I240">
            <v>297.36</v>
          </cell>
        </row>
        <row r="241">
          <cell r="B241" t="str">
            <v>Nakasa</v>
          </cell>
          <cell r="C241" t="str">
            <v>Cyhalofop Butyl 5.1% + Penoxsulam 1.02% OD</v>
          </cell>
          <cell r="D241" t="str">
            <v>Zaya</v>
          </cell>
          <cell r="E241" t="str">
            <v>400 ML</v>
          </cell>
          <cell r="F241">
            <v>491</v>
          </cell>
          <cell r="G241">
            <v>18</v>
          </cell>
          <cell r="H241">
            <v>88.38</v>
          </cell>
          <cell r="I241">
            <v>579.38</v>
          </cell>
        </row>
        <row r="242">
          <cell r="B242" t="str">
            <v>Nakasa</v>
          </cell>
          <cell r="C242" t="str">
            <v>Cyhalofop Butyl 5.1% + Penoxsulam 1.02% OD</v>
          </cell>
          <cell r="D242" t="str">
            <v>Zaya</v>
          </cell>
          <cell r="E242" t="str">
            <v>1000 ML</v>
          </cell>
          <cell r="F242">
            <v>1170</v>
          </cell>
          <cell r="G242">
            <v>18</v>
          </cell>
          <cell r="H242">
            <v>210.6</v>
          </cell>
          <cell r="I242">
            <v>1380.6</v>
          </cell>
        </row>
        <row r="243">
          <cell r="B243" t="str">
            <v>Nakasa</v>
          </cell>
          <cell r="C243" t="str">
            <v>2,4 D Amine Salt 58% SL</v>
          </cell>
          <cell r="D243" t="str">
            <v>Amon-D2</v>
          </cell>
          <cell r="E243" t="str">
            <v>250 ML</v>
          </cell>
          <cell r="F243">
            <v>102</v>
          </cell>
          <cell r="G243">
            <v>18</v>
          </cell>
          <cell r="H243">
            <v>18.36</v>
          </cell>
          <cell r="I243">
            <v>120.36</v>
          </cell>
        </row>
        <row r="244">
          <cell r="B244" t="str">
            <v>Nakasa</v>
          </cell>
          <cell r="C244" t="str">
            <v>2,4 D Amine Salt 58% SL</v>
          </cell>
          <cell r="D244" t="str">
            <v>Amon-D2</v>
          </cell>
          <cell r="E244" t="str">
            <v>500 ML</v>
          </cell>
          <cell r="F244">
            <v>183</v>
          </cell>
          <cell r="G244">
            <v>18</v>
          </cell>
          <cell r="H244">
            <v>32.94</v>
          </cell>
          <cell r="I244">
            <v>215.94</v>
          </cell>
        </row>
        <row r="245">
          <cell r="B245" t="str">
            <v>Nakasa</v>
          </cell>
          <cell r="C245" t="str">
            <v>2,4 D Amine Salt 58% SL</v>
          </cell>
          <cell r="D245" t="str">
            <v>Amon-D2</v>
          </cell>
          <cell r="E245" t="str">
            <v>1000 ML</v>
          </cell>
          <cell r="F245">
            <v>344</v>
          </cell>
          <cell r="G245">
            <v>18</v>
          </cell>
          <cell r="H245">
            <v>61.919999999999995</v>
          </cell>
          <cell r="I245">
            <v>405.92</v>
          </cell>
        </row>
        <row r="246">
          <cell r="B246" t="str">
            <v>Nakasa</v>
          </cell>
          <cell r="C246" t="str">
            <v>Pyrazosulfuron Ethyl 10% WP</v>
          </cell>
          <cell r="D246" t="str">
            <v>Saahi</v>
          </cell>
          <cell r="E246" t="str">
            <v>20 GMS</v>
          </cell>
          <cell r="F246">
            <v>35</v>
          </cell>
          <cell r="G246">
            <v>18</v>
          </cell>
          <cell r="H246">
            <v>6.3</v>
          </cell>
          <cell r="I246">
            <v>41.3</v>
          </cell>
        </row>
        <row r="247">
          <cell r="B247" t="str">
            <v>Nakasa</v>
          </cell>
          <cell r="C247" t="str">
            <v>Pyrazosulfuron Ethyl 10% WP</v>
          </cell>
          <cell r="D247" t="str">
            <v>Saahi</v>
          </cell>
          <cell r="E247" t="str">
            <v>80 GMS</v>
          </cell>
          <cell r="F247">
            <v>92</v>
          </cell>
          <cell r="G247">
            <v>18</v>
          </cell>
          <cell r="H247">
            <v>16.559999999999999</v>
          </cell>
          <cell r="I247">
            <v>108.56</v>
          </cell>
        </row>
        <row r="248">
          <cell r="B248" t="str">
            <v>Nakasa</v>
          </cell>
          <cell r="C248" t="str">
            <v>Pendimethalin 30% + Imazethapyr 2% EC</v>
          </cell>
          <cell r="D248" t="str">
            <v>Pendi Plus</v>
          </cell>
          <cell r="E248" t="str">
            <v>250 ML</v>
          </cell>
          <cell r="F248">
            <v>166</v>
          </cell>
          <cell r="G248">
            <v>18</v>
          </cell>
          <cell r="H248">
            <v>29.88</v>
          </cell>
          <cell r="I248">
            <v>195.88</v>
          </cell>
        </row>
        <row r="249">
          <cell r="B249" t="str">
            <v>Nakasa</v>
          </cell>
          <cell r="C249" t="str">
            <v>Pendimethalin 30% + Imazethapyr 2% EC</v>
          </cell>
          <cell r="D249" t="str">
            <v>Pendi Plus</v>
          </cell>
          <cell r="E249" t="str">
            <v>500 ML</v>
          </cell>
          <cell r="F249">
            <v>298</v>
          </cell>
          <cell r="G249">
            <v>18</v>
          </cell>
          <cell r="H249">
            <v>53.64</v>
          </cell>
          <cell r="I249">
            <v>351.64</v>
          </cell>
        </row>
        <row r="250">
          <cell r="B250" t="str">
            <v>Nakasa</v>
          </cell>
          <cell r="C250" t="str">
            <v>Pendimethalin 30% + Imazethapyr 2% EC</v>
          </cell>
          <cell r="D250" t="str">
            <v>Pendi Plus</v>
          </cell>
          <cell r="E250" t="str">
            <v>1000 ML</v>
          </cell>
          <cell r="F250">
            <v>531</v>
          </cell>
          <cell r="G250">
            <v>18</v>
          </cell>
          <cell r="H250">
            <v>95.58</v>
          </cell>
          <cell r="I250">
            <v>626.58000000000004</v>
          </cell>
        </row>
        <row r="251">
          <cell r="B251" t="str">
            <v>Nakasa</v>
          </cell>
          <cell r="C251" t="str">
            <v>Tembotrione 34.4% SC</v>
          </cell>
          <cell r="D251" t="str">
            <v>Judous</v>
          </cell>
          <cell r="E251" t="str">
            <v>57.5 ML</v>
          </cell>
          <cell r="F251">
            <v>525</v>
          </cell>
          <cell r="G251">
            <v>18</v>
          </cell>
          <cell r="H251">
            <v>94.5</v>
          </cell>
          <cell r="I251">
            <v>619.5</v>
          </cell>
        </row>
        <row r="252">
          <cell r="B252" t="str">
            <v>Nakasa</v>
          </cell>
          <cell r="C252" t="str">
            <v>Tembotrione 34.4% SC</v>
          </cell>
          <cell r="D252" t="str">
            <v>Judous</v>
          </cell>
          <cell r="E252" t="str">
            <v>115 ML</v>
          </cell>
          <cell r="F252">
            <v>810</v>
          </cell>
          <cell r="G252">
            <v>18</v>
          </cell>
          <cell r="H252">
            <v>145.79999999999998</v>
          </cell>
          <cell r="I252">
            <v>955.8</v>
          </cell>
        </row>
        <row r="253">
          <cell r="B253" t="str">
            <v>Nakasa</v>
          </cell>
          <cell r="C253" t="str">
            <v>Tembotrione 34.4% SC</v>
          </cell>
          <cell r="D253" t="str">
            <v>Judous</v>
          </cell>
          <cell r="E253" t="str">
            <v>230 ML</v>
          </cell>
          <cell r="F253">
            <v>1571</v>
          </cell>
          <cell r="G253">
            <v>18</v>
          </cell>
          <cell r="H253">
            <v>282.77999999999997</v>
          </cell>
          <cell r="I253">
            <v>1853.78</v>
          </cell>
        </row>
        <row r="254">
          <cell r="B254" t="str">
            <v>Nakasa</v>
          </cell>
          <cell r="C254" t="str">
            <v>Pyrithiobac Sodium 10% SC</v>
          </cell>
          <cell r="D254" t="str">
            <v>Hit-Run</v>
          </cell>
          <cell r="E254" t="str">
            <v>250 ML</v>
          </cell>
          <cell r="F254">
            <v>604</v>
          </cell>
          <cell r="G254">
            <v>18</v>
          </cell>
          <cell r="H254">
            <v>108.72</v>
          </cell>
          <cell r="I254">
            <v>712.72</v>
          </cell>
        </row>
        <row r="255">
          <cell r="B255" t="str">
            <v>Nakasa</v>
          </cell>
          <cell r="C255" t="str">
            <v>Pyrithiobac Sodium 10% SC</v>
          </cell>
          <cell r="D255" t="str">
            <v>Hit-Run</v>
          </cell>
          <cell r="E255" t="str">
            <v>500 ML</v>
          </cell>
          <cell r="F255">
            <v>1160</v>
          </cell>
          <cell r="G255">
            <v>18</v>
          </cell>
          <cell r="H255">
            <v>208.79999999999998</v>
          </cell>
          <cell r="I255">
            <v>1368.8</v>
          </cell>
        </row>
        <row r="256">
          <cell r="B256" t="str">
            <v>Nakasa</v>
          </cell>
          <cell r="C256" t="str">
            <v>Pyrithiobac Sodium 10% SC</v>
          </cell>
          <cell r="D256" t="str">
            <v>Hit-Run</v>
          </cell>
          <cell r="E256" t="str">
            <v>1000 ML</v>
          </cell>
          <cell r="F256">
            <v>2253</v>
          </cell>
          <cell r="G256">
            <v>18</v>
          </cell>
          <cell r="H256">
            <v>405.53999999999996</v>
          </cell>
          <cell r="I256">
            <v>2658.54</v>
          </cell>
        </row>
        <row r="257">
          <cell r="B257" t="str">
            <v>Nakasa</v>
          </cell>
          <cell r="C257" t="str">
            <v>Metsulfuron Methyl 10% + Chlorimuron Ethyl 10% WP</v>
          </cell>
          <cell r="D257" t="str">
            <v>N-Mix</v>
          </cell>
          <cell r="E257" t="str">
            <v>8 GMS</v>
          </cell>
          <cell r="F257">
            <v>59</v>
          </cell>
          <cell r="G257">
            <v>18</v>
          </cell>
          <cell r="H257">
            <v>10.62</v>
          </cell>
          <cell r="I257">
            <v>69.62</v>
          </cell>
        </row>
        <row r="258">
          <cell r="B258" t="str">
            <v>Nakasa</v>
          </cell>
          <cell r="C258" t="str">
            <v>Atrazine 50% WP</v>
          </cell>
          <cell r="D258" t="str">
            <v>Atro</v>
          </cell>
          <cell r="E258" t="str">
            <v>250 GMS</v>
          </cell>
          <cell r="F258">
            <v>119</v>
          </cell>
          <cell r="G258">
            <v>18</v>
          </cell>
          <cell r="H258">
            <v>21.419999999999998</v>
          </cell>
          <cell r="I258">
            <v>140.41999999999999</v>
          </cell>
        </row>
        <row r="259">
          <cell r="B259" t="str">
            <v>Nakasa</v>
          </cell>
          <cell r="C259" t="str">
            <v>Atrazine 50% WP</v>
          </cell>
          <cell r="D259" t="str">
            <v>Atro</v>
          </cell>
          <cell r="E259" t="str">
            <v>500 GMS</v>
          </cell>
          <cell r="F259">
            <v>214</v>
          </cell>
          <cell r="G259">
            <v>18</v>
          </cell>
          <cell r="H259">
            <v>38.519999999999996</v>
          </cell>
          <cell r="I259">
            <v>252.51999999999998</v>
          </cell>
        </row>
        <row r="260">
          <cell r="B260" t="str">
            <v>Nakasa</v>
          </cell>
          <cell r="C260" t="str">
            <v>Atrazine 50% WP</v>
          </cell>
          <cell r="D260" t="str">
            <v>Atro</v>
          </cell>
          <cell r="E260" t="str">
            <v>1000 GMS</v>
          </cell>
          <cell r="F260">
            <v>404</v>
          </cell>
          <cell r="G260">
            <v>18</v>
          </cell>
          <cell r="H260">
            <v>72.72</v>
          </cell>
          <cell r="I260">
            <v>476.72</v>
          </cell>
        </row>
        <row r="261">
          <cell r="B261" t="str">
            <v>Nakasa</v>
          </cell>
          <cell r="C261" t="str">
            <v>Gibberellic Acid 0.001% L</v>
          </cell>
          <cell r="D261" t="str">
            <v>Preran</v>
          </cell>
          <cell r="E261" t="str">
            <v>100 ML</v>
          </cell>
          <cell r="F261">
            <v>75</v>
          </cell>
          <cell r="G261">
            <v>18</v>
          </cell>
          <cell r="H261">
            <v>13.5</v>
          </cell>
          <cell r="I261">
            <v>88.5</v>
          </cell>
        </row>
        <row r="262">
          <cell r="B262" t="str">
            <v>Nakasa</v>
          </cell>
          <cell r="C262" t="str">
            <v>Gibberellic Acid 0.001% L</v>
          </cell>
          <cell r="D262" t="str">
            <v>Preran</v>
          </cell>
          <cell r="E262" t="str">
            <v>250 ML</v>
          </cell>
          <cell r="F262">
            <v>131</v>
          </cell>
          <cell r="G262">
            <v>18</v>
          </cell>
          <cell r="H262">
            <v>23.58</v>
          </cell>
          <cell r="I262">
            <v>154.57999999999998</v>
          </cell>
        </row>
        <row r="263">
          <cell r="B263" t="str">
            <v>Nakasa</v>
          </cell>
          <cell r="C263" t="str">
            <v>Gibberellic Acid 0.001% L</v>
          </cell>
          <cell r="D263" t="str">
            <v>Preran</v>
          </cell>
          <cell r="E263" t="str">
            <v>500 ML</v>
          </cell>
          <cell r="F263">
            <v>228</v>
          </cell>
          <cell r="G263">
            <v>18</v>
          </cell>
          <cell r="H263">
            <v>41.04</v>
          </cell>
          <cell r="I263">
            <v>269.04000000000002</v>
          </cell>
        </row>
        <row r="264">
          <cell r="B264" t="str">
            <v>Nakasa</v>
          </cell>
          <cell r="C264" t="str">
            <v>Gibberellic Acid 0.001% L</v>
          </cell>
          <cell r="D264" t="str">
            <v>Preran</v>
          </cell>
          <cell r="E264" t="str">
            <v>1000 ML</v>
          </cell>
          <cell r="F264">
            <v>425</v>
          </cell>
          <cell r="G264">
            <v>18</v>
          </cell>
          <cell r="H264">
            <v>76.5</v>
          </cell>
          <cell r="I264">
            <v>501.5</v>
          </cell>
        </row>
        <row r="265">
          <cell r="B265" t="str">
            <v>Nakasa</v>
          </cell>
          <cell r="C265" t="str">
            <v>Gibberellic Acid 0.001% L</v>
          </cell>
          <cell r="D265" t="str">
            <v>Preran</v>
          </cell>
          <cell r="E265" t="str">
            <v>5000 ML</v>
          </cell>
          <cell r="F265">
            <v>2025</v>
          </cell>
          <cell r="G265">
            <v>18</v>
          </cell>
          <cell r="H265">
            <v>364.5</v>
          </cell>
          <cell r="I265">
            <v>2389.5</v>
          </cell>
        </row>
        <row r="266">
          <cell r="B266" t="str">
            <v>Nakasa</v>
          </cell>
          <cell r="C266" t="str">
            <v>Alpha Napthyl Acetic Acid 4.5% SL</v>
          </cell>
          <cell r="D266" t="str">
            <v>Sobhit</v>
          </cell>
          <cell r="E266" t="str">
            <v>100 ML</v>
          </cell>
          <cell r="F266">
            <v>62</v>
          </cell>
          <cell r="G266">
            <v>18</v>
          </cell>
          <cell r="H266">
            <v>11.16</v>
          </cell>
          <cell r="I266">
            <v>73.16</v>
          </cell>
        </row>
        <row r="267">
          <cell r="B267" t="str">
            <v>Nakasa</v>
          </cell>
          <cell r="C267" t="str">
            <v>Alpha Napthyl Acetic Acid 4.5% SL</v>
          </cell>
          <cell r="D267" t="str">
            <v>Sobhit</v>
          </cell>
          <cell r="E267" t="str">
            <v>250 ML</v>
          </cell>
          <cell r="F267">
            <v>114</v>
          </cell>
          <cell r="G267">
            <v>18</v>
          </cell>
          <cell r="H267">
            <v>20.52</v>
          </cell>
          <cell r="I267">
            <v>134.52000000000001</v>
          </cell>
        </row>
        <row r="268">
          <cell r="B268" t="str">
            <v>Nakasa</v>
          </cell>
          <cell r="C268" t="str">
            <v>Alpha Napthyl Acetic Acid 4.5% SL</v>
          </cell>
          <cell r="D268" t="str">
            <v>Sobhit</v>
          </cell>
          <cell r="E268" t="str">
            <v>500 ML</v>
          </cell>
          <cell r="F268">
            <v>190</v>
          </cell>
          <cell r="G268">
            <v>18</v>
          </cell>
          <cell r="H268">
            <v>34.199999999999996</v>
          </cell>
          <cell r="I268">
            <v>224.2</v>
          </cell>
        </row>
        <row r="269">
          <cell r="B269" t="str">
            <v>Nakasa</v>
          </cell>
          <cell r="C269" t="str">
            <v>Alpha Napthyl Acetic Acid 4.5% SL</v>
          </cell>
          <cell r="D269" t="str">
            <v>Sobhit</v>
          </cell>
          <cell r="E269" t="str">
            <v>1000 ML</v>
          </cell>
          <cell r="F269">
            <v>342</v>
          </cell>
          <cell r="G269">
            <v>18</v>
          </cell>
          <cell r="H269">
            <v>61.559999999999995</v>
          </cell>
          <cell r="I269">
            <v>403.56</v>
          </cell>
        </row>
        <row r="270">
          <cell r="B270" t="str">
            <v>Nakasa</v>
          </cell>
          <cell r="C270" t="str">
            <v>Tricontanol 0.1% EW</v>
          </cell>
          <cell r="D270" t="str">
            <v>Vikasit</v>
          </cell>
          <cell r="E270" t="str">
            <v>100 ML</v>
          </cell>
          <cell r="F270">
            <v>95</v>
          </cell>
          <cell r="G270">
            <v>18</v>
          </cell>
          <cell r="H270">
            <v>17.099999999999998</v>
          </cell>
          <cell r="I270">
            <v>112.1</v>
          </cell>
        </row>
        <row r="271">
          <cell r="B271" t="str">
            <v>Nakasa</v>
          </cell>
          <cell r="C271" t="str">
            <v>Tricontanol 0.1% EW</v>
          </cell>
          <cell r="D271" t="str">
            <v>Vikasit</v>
          </cell>
          <cell r="E271" t="str">
            <v>250 ML</v>
          </cell>
          <cell r="F271">
            <v>160</v>
          </cell>
          <cell r="G271">
            <v>18</v>
          </cell>
          <cell r="H271">
            <v>28.799999999999997</v>
          </cell>
          <cell r="I271">
            <v>188.8</v>
          </cell>
        </row>
        <row r="272">
          <cell r="B272" t="str">
            <v>Nakasa</v>
          </cell>
          <cell r="C272" t="str">
            <v>Tricontanol 0.1% EW</v>
          </cell>
          <cell r="D272" t="str">
            <v>Vikasit</v>
          </cell>
          <cell r="E272" t="str">
            <v>500 ML</v>
          </cell>
          <cell r="F272">
            <v>265</v>
          </cell>
          <cell r="G272">
            <v>18</v>
          </cell>
          <cell r="H272">
            <v>47.699999999999996</v>
          </cell>
          <cell r="I272">
            <v>312.7</v>
          </cell>
        </row>
        <row r="273">
          <cell r="B273" t="str">
            <v>Nakasa</v>
          </cell>
          <cell r="C273" t="str">
            <v>Tricontanol 0.1% EW</v>
          </cell>
          <cell r="D273" t="str">
            <v>Vikasit</v>
          </cell>
          <cell r="E273" t="str">
            <v>1000 ML</v>
          </cell>
          <cell r="F273">
            <v>450</v>
          </cell>
          <cell r="G273">
            <v>18</v>
          </cell>
          <cell r="H273">
            <v>81</v>
          </cell>
          <cell r="I273">
            <v>531</v>
          </cell>
        </row>
        <row r="274">
          <cell r="B274" t="str">
            <v>Nakasa</v>
          </cell>
          <cell r="C274" t="str">
            <v>Tricontanol 0.1% EW</v>
          </cell>
          <cell r="D274" t="str">
            <v>Vikasit</v>
          </cell>
          <cell r="E274" t="str">
            <v>5000 ML</v>
          </cell>
          <cell r="F274">
            <v>2100</v>
          </cell>
          <cell r="G274">
            <v>18</v>
          </cell>
          <cell r="H274">
            <v>378</v>
          </cell>
          <cell r="I274">
            <v>2478</v>
          </cell>
        </row>
        <row r="275">
          <cell r="B275" t="str">
            <v>Nakasa</v>
          </cell>
          <cell r="C275" t="str">
            <v>Paclobutrazol 23% SC</v>
          </cell>
          <cell r="D275" t="str">
            <v>Cult</v>
          </cell>
          <cell r="E275" t="str">
            <v>50 ML</v>
          </cell>
          <cell r="F275">
            <v>63</v>
          </cell>
          <cell r="G275">
            <v>18</v>
          </cell>
          <cell r="H275">
            <v>11.34</v>
          </cell>
          <cell r="I275">
            <v>74.34</v>
          </cell>
        </row>
        <row r="276">
          <cell r="B276" t="str">
            <v>Nakasa</v>
          </cell>
          <cell r="C276" t="str">
            <v>Paclobutrazol 23% SC</v>
          </cell>
          <cell r="D276" t="str">
            <v>Cult</v>
          </cell>
          <cell r="E276" t="str">
            <v>100 ML</v>
          </cell>
          <cell r="F276">
            <v>118</v>
          </cell>
          <cell r="G276">
            <v>18</v>
          </cell>
          <cell r="H276">
            <v>21.24</v>
          </cell>
          <cell r="I276">
            <v>139.24</v>
          </cell>
        </row>
        <row r="277">
          <cell r="B277" t="str">
            <v>Nakasa</v>
          </cell>
          <cell r="C277" t="str">
            <v>Paclobutrazol 23% SC</v>
          </cell>
          <cell r="D277" t="str">
            <v>Cult</v>
          </cell>
          <cell r="E277" t="str">
            <v>250 ML</v>
          </cell>
          <cell r="F277">
            <v>245</v>
          </cell>
          <cell r="G277">
            <v>18</v>
          </cell>
          <cell r="H277">
            <v>44.1</v>
          </cell>
          <cell r="I277">
            <v>289.10000000000002</v>
          </cell>
        </row>
        <row r="278">
          <cell r="B278" t="str">
            <v>Nakasa</v>
          </cell>
          <cell r="C278" t="str">
            <v>Paclobutrazol 23% SC</v>
          </cell>
          <cell r="D278" t="str">
            <v>Cult</v>
          </cell>
          <cell r="E278" t="str">
            <v>500 ML</v>
          </cell>
          <cell r="F278">
            <v>440</v>
          </cell>
          <cell r="G278">
            <v>18</v>
          </cell>
          <cell r="H278">
            <v>79.2</v>
          </cell>
          <cell r="I278">
            <v>519.20000000000005</v>
          </cell>
        </row>
        <row r="279">
          <cell r="B279" t="str">
            <v>Nakasa</v>
          </cell>
          <cell r="C279" t="str">
            <v>Paclobutrazol 23% SC</v>
          </cell>
          <cell r="D279" t="str">
            <v>Cult</v>
          </cell>
          <cell r="E279" t="str">
            <v>1000 ML</v>
          </cell>
          <cell r="F279">
            <v>830</v>
          </cell>
          <cell r="G279">
            <v>18</v>
          </cell>
          <cell r="H279">
            <v>149.4</v>
          </cell>
          <cell r="I279">
            <v>979.4</v>
          </cell>
        </row>
        <row r="280">
          <cell r="B280" t="str">
            <v>Nakasa</v>
          </cell>
          <cell r="C280" t="str">
            <v>Paclobutrazol 23% SC</v>
          </cell>
          <cell r="D280" t="str">
            <v>Cult</v>
          </cell>
          <cell r="E280" t="str">
            <v>5000 ML</v>
          </cell>
          <cell r="F280">
            <v>3950</v>
          </cell>
          <cell r="G280">
            <v>18</v>
          </cell>
          <cell r="H280">
            <v>711</v>
          </cell>
          <cell r="I280">
            <v>4661</v>
          </cell>
        </row>
        <row r="281">
          <cell r="B281" t="str">
            <v>Nakasa</v>
          </cell>
          <cell r="C281" t="str">
            <v>Paclobutrazol 40% SC</v>
          </cell>
          <cell r="D281" t="str">
            <v>Cult Gold</v>
          </cell>
          <cell r="E281" t="str">
            <v>50 ML</v>
          </cell>
          <cell r="F281">
            <v>130</v>
          </cell>
          <cell r="G281">
            <v>18</v>
          </cell>
          <cell r="H281">
            <v>23.4</v>
          </cell>
          <cell r="I281">
            <v>153.4</v>
          </cell>
        </row>
        <row r="282">
          <cell r="B282" t="str">
            <v>Nakasa</v>
          </cell>
          <cell r="C282" t="str">
            <v>Paclobutrazol 40% SC</v>
          </cell>
          <cell r="D282" t="str">
            <v>Cult Gold</v>
          </cell>
          <cell r="E282" t="str">
            <v>100 ML</v>
          </cell>
          <cell r="F282">
            <v>225</v>
          </cell>
          <cell r="G282">
            <v>18</v>
          </cell>
          <cell r="H282">
            <v>40.5</v>
          </cell>
          <cell r="I282">
            <v>265.5</v>
          </cell>
        </row>
        <row r="283">
          <cell r="B283" t="str">
            <v>Nakasa</v>
          </cell>
          <cell r="C283" t="str">
            <v>Paclobutrazol 40% SC</v>
          </cell>
          <cell r="D283" t="str">
            <v>Cult Gold</v>
          </cell>
          <cell r="E283" t="str">
            <v>250 ML</v>
          </cell>
          <cell r="F283">
            <v>490</v>
          </cell>
          <cell r="G283">
            <v>18</v>
          </cell>
          <cell r="H283">
            <v>88.2</v>
          </cell>
          <cell r="I283">
            <v>578.20000000000005</v>
          </cell>
        </row>
        <row r="284">
          <cell r="B284" t="str">
            <v>Nakasa</v>
          </cell>
          <cell r="C284" t="str">
            <v>Paclobutrazol 40% SC</v>
          </cell>
          <cell r="D284" t="str">
            <v>Cult Gold</v>
          </cell>
          <cell r="E284" t="str">
            <v>500 ML</v>
          </cell>
          <cell r="F284">
            <v>950</v>
          </cell>
          <cell r="G284">
            <v>18</v>
          </cell>
          <cell r="H284">
            <v>171</v>
          </cell>
          <cell r="I284">
            <v>1121</v>
          </cell>
        </row>
        <row r="285">
          <cell r="B285" t="str">
            <v>Nakasa</v>
          </cell>
          <cell r="C285" t="str">
            <v>Paclobutrazol 40% SC</v>
          </cell>
          <cell r="D285" t="str">
            <v>Cult Gold</v>
          </cell>
          <cell r="E285" t="str">
            <v>1000 ML</v>
          </cell>
          <cell r="F285">
            <v>1850</v>
          </cell>
          <cell r="G285">
            <v>18</v>
          </cell>
          <cell r="H285">
            <v>333</v>
          </cell>
          <cell r="I285">
            <v>2183</v>
          </cell>
        </row>
        <row r="286">
          <cell r="B286" t="str">
            <v>Nakasa</v>
          </cell>
          <cell r="C286" t="str">
            <v>Imazethapyr 10% SL</v>
          </cell>
          <cell r="D286" t="str">
            <v>Shokar</v>
          </cell>
          <cell r="E286" t="str">
            <v>250 ML</v>
          </cell>
          <cell r="F286">
            <v>225</v>
          </cell>
          <cell r="G286">
            <v>18</v>
          </cell>
          <cell r="H286">
            <v>40.5</v>
          </cell>
          <cell r="I286">
            <v>265.5</v>
          </cell>
        </row>
        <row r="287">
          <cell r="B287" t="str">
            <v>Nakasa</v>
          </cell>
          <cell r="C287" t="str">
            <v>Imazethapyr 10% SL</v>
          </cell>
          <cell r="D287" t="str">
            <v>Shokar</v>
          </cell>
          <cell r="E287" t="str">
            <v>500 ML</v>
          </cell>
          <cell r="F287">
            <v>401</v>
          </cell>
          <cell r="G287">
            <v>18</v>
          </cell>
          <cell r="H287">
            <v>72.179999999999993</v>
          </cell>
          <cell r="I287">
            <v>473.18</v>
          </cell>
        </row>
        <row r="288">
          <cell r="B288" t="str">
            <v>Nakasa</v>
          </cell>
          <cell r="C288" t="str">
            <v>Imazethapyr 10% SL</v>
          </cell>
          <cell r="D288" t="str">
            <v>Shokar</v>
          </cell>
          <cell r="E288" t="str">
            <v>1000 ML</v>
          </cell>
          <cell r="F288">
            <v>738</v>
          </cell>
          <cell r="G288">
            <v>18</v>
          </cell>
          <cell r="H288">
            <v>132.84</v>
          </cell>
          <cell r="I288">
            <v>870.84</v>
          </cell>
        </row>
        <row r="289">
          <cell r="B289" t="str">
            <v>Nakasa</v>
          </cell>
          <cell r="C289" t="str">
            <v>Fipronil 40% + Imidacloprid 40% WG</v>
          </cell>
          <cell r="D289" t="str">
            <v>B S F</v>
          </cell>
          <cell r="E289" t="str">
            <v>40 GMS</v>
          </cell>
          <cell r="F289">
            <v>225</v>
          </cell>
          <cell r="G289">
            <v>18</v>
          </cell>
          <cell r="H289">
            <v>40.5</v>
          </cell>
          <cell r="I289">
            <v>265.5</v>
          </cell>
        </row>
        <row r="290">
          <cell r="B290" t="str">
            <v>Nakasa</v>
          </cell>
          <cell r="C290" t="str">
            <v>Fipronil 40% + Imidacloprid 40% WG</v>
          </cell>
          <cell r="D290" t="str">
            <v>B S F</v>
          </cell>
          <cell r="E290" t="str">
            <v>100 GMS</v>
          </cell>
          <cell r="F290">
            <v>518</v>
          </cell>
          <cell r="G290">
            <v>18</v>
          </cell>
          <cell r="H290">
            <v>93.24</v>
          </cell>
          <cell r="I290">
            <v>611.24</v>
          </cell>
        </row>
        <row r="291">
          <cell r="B291" t="str">
            <v>Nakasa</v>
          </cell>
          <cell r="C291" t="str">
            <v>Fipronil 40% + Imidacloprid 40% WG</v>
          </cell>
          <cell r="D291" t="str">
            <v>B S F</v>
          </cell>
          <cell r="E291" t="str">
            <v>250 GMS</v>
          </cell>
          <cell r="F291">
            <v>1269</v>
          </cell>
          <cell r="G291">
            <v>18</v>
          </cell>
          <cell r="H291">
            <v>228.42</v>
          </cell>
          <cell r="I291">
            <v>1497.42</v>
          </cell>
        </row>
        <row r="292">
          <cell r="B292" t="str">
            <v>Nakasa</v>
          </cell>
          <cell r="C292" t="str">
            <v>Fipronil 40% + Imidacloprid 40% WG</v>
          </cell>
          <cell r="D292" t="str">
            <v>B S F</v>
          </cell>
          <cell r="E292" t="str">
            <v>500 GMS</v>
          </cell>
          <cell r="F292">
            <v>2516</v>
          </cell>
          <cell r="G292">
            <v>18</v>
          </cell>
          <cell r="H292">
            <v>452.88</v>
          </cell>
          <cell r="I292">
            <v>2968.88</v>
          </cell>
        </row>
        <row r="293">
          <cell r="B293" t="str">
            <v>Nakasa</v>
          </cell>
          <cell r="C293" t="str">
            <v>Oxyfluorfen 23.5% EC</v>
          </cell>
          <cell r="D293" t="str">
            <v>Preecide</v>
          </cell>
          <cell r="E293" t="str">
            <v>100 ML</v>
          </cell>
          <cell r="F293">
            <v>162</v>
          </cell>
          <cell r="G293">
            <v>18</v>
          </cell>
          <cell r="H293">
            <v>29.16</v>
          </cell>
          <cell r="I293">
            <v>191.16</v>
          </cell>
        </row>
        <row r="294">
          <cell r="B294" t="str">
            <v>Nakasa</v>
          </cell>
          <cell r="C294" t="str">
            <v>Oxyfluorfen 23.5% EC</v>
          </cell>
          <cell r="D294" t="str">
            <v>Preecide</v>
          </cell>
          <cell r="E294" t="str">
            <v>250 ML</v>
          </cell>
          <cell r="F294">
            <v>383</v>
          </cell>
          <cell r="G294">
            <v>18</v>
          </cell>
          <cell r="H294">
            <v>68.94</v>
          </cell>
          <cell r="I294">
            <v>451.94</v>
          </cell>
        </row>
        <row r="295">
          <cell r="B295" t="str">
            <v>Nakasa</v>
          </cell>
          <cell r="C295" t="str">
            <v>Oxyfluorfen 23.5% EC</v>
          </cell>
          <cell r="D295" t="str">
            <v>Preecide</v>
          </cell>
          <cell r="E295" t="str">
            <v>500 ML</v>
          </cell>
          <cell r="F295">
            <v>720</v>
          </cell>
          <cell r="G295">
            <v>18</v>
          </cell>
          <cell r="H295">
            <v>129.6</v>
          </cell>
          <cell r="I295">
            <v>849.6</v>
          </cell>
        </row>
        <row r="296">
          <cell r="B296" t="str">
            <v>Nakasa</v>
          </cell>
          <cell r="C296" t="str">
            <v>Oxyfluorfen 23.5% EC</v>
          </cell>
          <cell r="D296" t="str">
            <v>Preecide</v>
          </cell>
          <cell r="E296" t="str">
            <v>1000 ML</v>
          </cell>
          <cell r="F296">
            <v>1395</v>
          </cell>
          <cell r="G296">
            <v>18</v>
          </cell>
          <cell r="H296">
            <v>251.1</v>
          </cell>
          <cell r="I296">
            <v>1646.1</v>
          </cell>
        </row>
        <row r="297">
          <cell r="B297" t="str">
            <v>Nakasa</v>
          </cell>
          <cell r="C297" t="str">
            <v>Pyriproxifen 5% + Diafenthiuron 10% EC</v>
          </cell>
          <cell r="D297" t="str">
            <v>Roxy</v>
          </cell>
          <cell r="E297" t="str">
            <v>50 ML</v>
          </cell>
          <cell r="F297">
            <v>158</v>
          </cell>
          <cell r="G297">
            <v>18</v>
          </cell>
          <cell r="H297">
            <v>28.439999999999998</v>
          </cell>
          <cell r="I297">
            <v>186.44</v>
          </cell>
        </row>
        <row r="298">
          <cell r="B298" t="str">
            <v>Nakasa</v>
          </cell>
          <cell r="C298" t="str">
            <v>Pyriproxifen 5% + Diafenthiuron 10% EC</v>
          </cell>
          <cell r="D298" t="str">
            <v>Roxy</v>
          </cell>
          <cell r="E298" t="str">
            <v>100 ML</v>
          </cell>
          <cell r="F298">
            <v>288</v>
          </cell>
          <cell r="G298">
            <v>18</v>
          </cell>
          <cell r="H298">
            <v>51.839999999999996</v>
          </cell>
          <cell r="I298">
            <v>339.84</v>
          </cell>
        </row>
        <row r="299">
          <cell r="B299" t="str">
            <v>Nakasa</v>
          </cell>
          <cell r="C299" t="str">
            <v>Pyriproxifen 5% + Diafenthiuron 10% EC</v>
          </cell>
          <cell r="D299" t="str">
            <v>Roxy</v>
          </cell>
          <cell r="E299" t="str">
            <v>250 ML</v>
          </cell>
          <cell r="F299">
            <v>563</v>
          </cell>
          <cell r="G299">
            <v>18</v>
          </cell>
          <cell r="H299">
            <v>101.33999999999999</v>
          </cell>
          <cell r="I299">
            <v>664.34</v>
          </cell>
        </row>
        <row r="300">
          <cell r="B300" t="str">
            <v>Nakasa</v>
          </cell>
          <cell r="C300" t="str">
            <v>Pyriproxifen 5% + Diafenthiuron 10% EC</v>
          </cell>
          <cell r="D300" t="str">
            <v>Roxy</v>
          </cell>
          <cell r="E300" t="str">
            <v>500 ML</v>
          </cell>
          <cell r="F300">
            <v>1035</v>
          </cell>
          <cell r="G300">
            <v>18</v>
          </cell>
          <cell r="H300">
            <v>186.29999999999998</v>
          </cell>
          <cell r="I300">
            <v>1221.3</v>
          </cell>
        </row>
        <row r="301">
          <cell r="B301" t="str">
            <v>Nakasa</v>
          </cell>
          <cell r="C301" t="str">
            <v>Pyriproxifen 5% + Diafenthiuron 10% EC</v>
          </cell>
          <cell r="D301" t="str">
            <v>Roxy</v>
          </cell>
          <cell r="E301" t="str">
            <v>1000 ML</v>
          </cell>
          <cell r="F301">
            <v>1980</v>
          </cell>
          <cell r="G301">
            <v>18</v>
          </cell>
          <cell r="H301">
            <v>356.4</v>
          </cell>
          <cell r="I301">
            <v>2336.4</v>
          </cell>
        </row>
        <row r="302">
          <cell r="B302" t="str">
            <v>Nakasa</v>
          </cell>
          <cell r="C302" t="str">
            <v>Pyriproxifen 5% + Diafenthiuron 10% EC</v>
          </cell>
          <cell r="D302" t="str">
            <v>Roxy</v>
          </cell>
          <cell r="E302" t="str">
            <v>5000 ML</v>
          </cell>
          <cell r="F302">
            <v>9630</v>
          </cell>
          <cell r="G302">
            <v>18</v>
          </cell>
          <cell r="H302">
            <v>1733.3999999999999</v>
          </cell>
          <cell r="I302">
            <v>11363.4</v>
          </cell>
        </row>
        <row r="303">
          <cell r="B303" t="str">
            <v>Nakasa</v>
          </cell>
          <cell r="C303" t="str">
            <v>Cymoxilin 8% + Mancozeb 64% WP</v>
          </cell>
          <cell r="D303" t="str">
            <v>Cymos</v>
          </cell>
          <cell r="E303" t="str">
            <v>300 GMS</v>
          </cell>
          <cell r="F303">
            <v>203</v>
          </cell>
          <cell r="G303">
            <v>18</v>
          </cell>
          <cell r="H303">
            <v>36.54</v>
          </cell>
          <cell r="I303">
            <v>239.54</v>
          </cell>
        </row>
        <row r="304">
          <cell r="B304" t="str">
            <v>Nakasa</v>
          </cell>
          <cell r="C304" t="str">
            <v>Cymoxilin 8% + Mancozeb 64% WP</v>
          </cell>
          <cell r="D304" t="str">
            <v>Cymos</v>
          </cell>
          <cell r="E304" t="str">
            <v>600 GMS</v>
          </cell>
          <cell r="F304">
            <v>385</v>
          </cell>
          <cell r="G304">
            <v>18</v>
          </cell>
          <cell r="H304">
            <v>69.3</v>
          </cell>
          <cell r="I304">
            <v>454.3</v>
          </cell>
        </row>
        <row r="305">
          <cell r="B305" t="str">
            <v>Nakasa</v>
          </cell>
          <cell r="C305" t="str">
            <v>Cymoxilin 8% + Mancozeb 64% WP</v>
          </cell>
          <cell r="D305" t="str">
            <v>Cymos</v>
          </cell>
          <cell r="E305" t="str">
            <v>1200 GMS</v>
          </cell>
          <cell r="F305">
            <v>752</v>
          </cell>
          <cell r="G305">
            <v>18</v>
          </cell>
          <cell r="H305">
            <v>135.35999999999999</v>
          </cell>
          <cell r="I305">
            <v>887.36</v>
          </cell>
        </row>
        <row r="306">
          <cell r="B306" t="str">
            <v>Nakasa</v>
          </cell>
          <cell r="C306" t="str">
            <v>Dinotefuran 15% + Pymetrozine 45% WG</v>
          </cell>
          <cell r="D306" t="str">
            <v>Samvidha</v>
          </cell>
          <cell r="E306" t="str">
            <v>66.6 GMS</v>
          </cell>
          <cell r="F306">
            <v>191</v>
          </cell>
          <cell r="G306">
            <v>18</v>
          </cell>
          <cell r="H306">
            <v>34.379999999999995</v>
          </cell>
          <cell r="I306">
            <v>225.38</v>
          </cell>
        </row>
        <row r="307">
          <cell r="B307" t="str">
            <v>Nakasa</v>
          </cell>
          <cell r="C307" t="str">
            <v>Dinotefuran 15% + Pymetrozine 45% WG</v>
          </cell>
          <cell r="D307" t="str">
            <v>Samvidha</v>
          </cell>
          <cell r="E307" t="str">
            <v>133.2 GMS</v>
          </cell>
          <cell r="F307">
            <v>360</v>
          </cell>
          <cell r="G307">
            <v>18</v>
          </cell>
          <cell r="H307">
            <v>64.8</v>
          </cell>
          <cell r="I307">
            <v>424.8</v>
          </cell>
        </row>
        <row r="308">
          <cell r="B308" t="str">
            <v>Nakasa</v>
          </cell>
          <cell r="C308" t="str">
            <v>Dinotefuran 15% + Pymetrozine 45% WG</v>
          </cell>
          <cell r="D308" t="str">
            <v>Samvidha</v>
          </cell>
          <cell r="E308" t="str">
            <v>333 GMS</v>
          </cell>
          <cell r="F308">
            <v>873</v>
          </cell>
          <cell r="G308">
            <v>18</v>
          </cell>
          <cell r="H308">
            <v>157.13999999999999</v>
          </cell>
          <cell r="I308">
            <v>1030.1399999999999</v>
          </cell>
        </row>
        <row r="309">
          <cell r="B309" t="str">
            <v>Nakasa</v>
          </cell>
          <cell r="C309" t="str">
            <v>Dinotefuran 15% + Pymetrozine 45% WG</v>
          </cell>
          <cell r="D309" t="str">
            <v>Samvidha</v>
          </cell>
          <cell r="E309" t="str">
            <v>666 GMS</v>
          </cell>
          <cell r="F309">
            <v>1692</v>
          </cell>
          <cell r="G309">
            <v>18</v>
          </cell>
          <cell r="H309">
            <v>304.56</v>
          </cell>
          <cell r="I309">
            <v>1996.56</v>
          </cell>
        </row>
        <row r="310">
          <cell r="B310" t="str">
            <v>Nakasa</v>
          </cell>
          <cell r="C310" t="str">
            <v>Dinotefuran 15% + Pymetrozine 45% WG</v>
          </cell>
          <cell r="D310" t="str">
            <v>Samvidha</v>
          </cell>
          <cell r="E310" t="str">
            <v>1332 GMS</v>
          </cell>
          <cell r="F310">
            <v>3276</v>
          </cell>
          <cell r="G310">
            <v>18</v>
          </cell>
          <cell r="H310">
            <v>589.67999999999995</v>
          </cell>
          <cell r="I310">
            <v>3865.68</v>
          </cell>
        </row>
        <row r="311">
          <cell r="B311" t="str">
            <v>Nakasa</v>
          </cell>
          <cell r="C311" t="str">
            <v>Tebuconazole 50% + Trifloxystrobin 25% WG</v>
          </cell>
          <cell r="D311" t="str">
            <v xml:space="preserve">Sastra </v>
          </cell>
          <cell r="E311" t="str">
            <v>100 GMS</v>
          </cell>
          <cell r="F311">
            <v>495</v>
          </cell>
          <cell r="G311">
            <v>18</v>
          </cell>
          <cell r="H311">
            <v>89.1</v>
          </cell>
          <cell r="I311">
            <v>584.1</v>
          </cell>
        </row>
        <row r="312">
          <cell r="B312" t="str">
            <v>Nakasa</v>
          </cell>
          <cell r="C312" t="str">
            <v>Tebuconazole 50% + Trifloxystrobin 25% WG</v>
          </cell>
          <cell r="D312" t="str">
            <v xml:space="preserve">Sastra </v>
          </cell>
          <cell r="E312" t="str">
            <v>250 GMS</v>
          </cell>
          <cell r="F312">
            <v>1202</v>
          </cell>
          <cell r="G312">
            <v>18</v>
          </cell>
          <cell r="H312">
            <v>216.35999999999999</v>
          </cell>
          <cell r="I312">
            <v>1418.36</v>
          </cell>
        </row>
        <row r="313">
          <cell r="B313" t="str">
            <v>Nakasa</v>
          </cell>
          <cell r="C313" t="str">
            <v>Tebuconazole 50% + Trifloxystrobin 25% WG</v>
          </cell>
          <cell r="D313" t="str">
            <v xml:space="preserve">Sastra </v>
          </cell>
          <cell r="E313" t="str">
            <v>500 GMS</v>
          </cell>
          <cell r="F313">
            <v>2385</v>
          </cell>
          <cell r="G313">
            <v>18</v>
          </cell>
          <cell r="H313">
            <v>429.3</v>
          </cell>
          <cell r="I313">
            <v>2814.3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ble 2"/>
      <sheetName val="Dump"/>
      <sheetName val="Work"/>
      <sheetName val="PriceList"/>
      <sheetName val="Trends"/>
    </sheetNames>
    <sheetDataSet>
      <sheetData sheetId="0"/>
      <sheetData sheetId="1"/>
      <sheetData sheetId="2"/>
      <sheetData sheetId="3">
        <row r="1">
          <cell r="C1" t="str">
            <v>Technical</v>
          </cell>
          <cell r="D1" t="str">
            <v>Product Name</v>
          </cell>
        </row>
        <row r="2">
          <cell r="C2" t="str">
            <v>Pyriproxifen 5% + Diafenthiuron 25% SE</v>
          </cell>
          <cell r="D2" t="str">
            <v>Aaghaat</v>
          </cell>
        </row>
        <row r="3">
          <cell r="C3" t="str">
            <v>Pyriproxifen 5% + Diafenthiuron 25% SE</v>
          </cell>
          <cell r="D3" t="str">
            <v>Aaghaat</v>
          </cell>
        </row>
        <row r="4">
          <cell r="C4" t="str">
            <v>Pyriproxifen 5% + Diafenthiuron 25% SE</v>
          </cell>
          <cell r="D4" t="str">
            <v>Aaghaat</v>
          </cell>
        </row>
        <row r="5">
          <cell r="C5" t="str">
            <v>Glyphosate Amonium salt 71% SG</v>
          </cell>
          <cell r="D5" t="str">
            <v>Aandhi-71</v>
          </cell>
        </row>
        <row r="6">
          <cell r="C6" t="str">
            <v>Glyphosate Amonium salt 71% SG</v>
          </cell>
          <cell r="D6" t="str">
            <v>Aandhi-71</v>
          </cell>
        </row>
        <row r="7">
          <cell r="C7" t="str">
            <v>Glyphosate Amonium salt 71% SG</v>
          </cell>
          <cell r="D7" t="str">
            <v>Aandhi-71</v>
          </cell>
        </row>
        <row r="8">
          <cell r="C8" t="str">
            <v>Gibberellic Acid 0.001% L</v>
          </cell>
          <cell r="D8" t="str">
            <v>Algebra</v>
          </cell>
        </row>
        <row r="9">
          <cell r="C9" t="str">
            <v>Gibberellic Acid 0.001% L</v>
          </cell>
          <cell r="D9" t="str">
            <v>Algebra</v>
          </cell>
        </row>
        <row r="10">
          <cell r="C10" t="str">
            <v>Gibberellic Acid 0.001% L</v>
          </cell>
          <cell r="D10" t="str">
            <v>Algebra</v>
          </cell>
        </row>
        <row r="11">
          <cell r="C11" t="str">
            <v>Gibberellic Acid 0.001% L</v>
          </cell>
          <cell r="D11" t="str">
            <v>Algebra</v>
          </cell>
        </row>
        <row r="12">
          <cell r="C12" t="str">
            <v>Penoxulam 2.67% OD</v>
          </cell>
          <cell r="D12" t="str">
            <v>Angad</v>
          </cell>
        </row>
        <row r="13">
          <cell r="C13" t="str">
            <v>Penoxulam 2.67% OD</v>
          </cell>
          <cell r="D13" t="str">
            <v>Angad</v>
          </cell>
        </row>
        <row r="14">
          <cell r="C14" t="str">
            <v>Penoxulam 2.67% OD</v>
          </cell>
          <cell r="D14" t="str">
            <v>Angad</v>
          </cell>
        </row>
        <row r="15">
          <cell r="C15" t="str">
            <v>Clothianidin 50% WG</v>
          </cell>
          <cell r="D15" t="str">
            <v>Badal</v>
          </cell>
        </row>
        <row r="16">
          <cell r="C16" t="str">
            <v>Clothianidin 50% WG</v>
          </cell>
          <cell r="D16" t="str">
            <v>Badal</v>
          </cell>
        </row>
        <row r="17">
          <cell r="C17" t="str">
            <v>Clothianidin 50% WG</v>
          </cell>
          <cell r="D17" t="str">
            <v>Badal</v>
          </cell>
        </row>
        <row r="18">
          <cell r="C18" t="str">
            <v>Clothianidin 50% WG</v>
          </cell>
          <cell r="D18" t="str">
            <v>Badal</v>
          </cell>
        </row>
        <row r="19">
          <cell r="C19" t="str">
            <v>Imidacloprid 70% WG</v>
          </cell>
          <cell r="D19" t="str">
            <v>Betal</v>
          </cell>
        </row>
        <row r="20">
          <cell r="C20" t="str">
            <v>Chlorpyrifos 50% + Cypermethrin 5% EC</v>
          </cell>
          <cell r="D20" t="str">
            <v>Bilbo B-505</v>
          </cell>
        </row>
        <row r="21">
          <cell r="C21" t="str">
            <v>Chlorpyrifos 50% + Cypermethrin 5% EC</v>
          </cell>
          <cell r="D21" t="str">
            <v>Bilbo B-505</v>
          </cell>
        </row>
        <row r="22">
          <cell r="C22" t="str">
            <v>Chlorpyrifos 50% + Cypermethrin 5% EC</v>
          </cell>
          <cell r="D22" t="str">
            <v>Bilbo B-505</v>
          </cell>
        </row>
        <row r="23">
          <cell r="C23" t="str">
            <v>Chlorpyrifos 50% + Cypermethrin 5% EC</v>
          </cell>
          <cell r="D23" t="str">
            <v>Bilbo B-505</v>
          </cell>
        </row>
        <row r="24">
          <cell r="C24" t="str">
            <v>Chlorpyrifos 50% + Cypermethrin 5% EC</v>
          </cell>
          <cell r="D24" t="str">
            <v>Bilbo B-505</v>
          </cell>
        </row>
        <row r="25">
          <cell r="C25" t="str">
            <v>Chlorpyrifos 50% + Cypermethrin 5% EC</v>
          </cell>
          <cell r="D25" t="str">
            <v>Bilbo B-505</v>
          </cell>
        </row>
        <row r="26">
          <cell r="C26" t="str">
            <v>Cartap Hydrochloride 4% GR</v>
          </cell>
          <cell r="D26" t="str">
            <v>Bildan-4G</v>
          </cell>
        </row>
        <row r="27">
          <cell r="C27" t="str">
            <v>Imidacloprid 17.8% SL</v>
          </cell>
          <cell r="D27" t="str">
            <v>Bildor</v>
          </cell>
        </row>
        <row r="28">
          <cell r="C28" t="str">
            <v>Imidacloprid 17.8% SL</v>
          </cell>
          <cell r="D28" t="str">
            <v>Bildor</v>
          </cell>
        </row>
        <row r="29">
          <cell r="C29" t="str">
            <v>Imidacloprid 17.8% SL</v>
          </cell>
          <cell r="D29" t="str">
            <v>Bildor</v>
          </cell>
        </row>
        <row r="30">
          <cell r="C30" t="str">
            <v>Imidacloprid 17.8% SL</v>
          </cell>
          <cell r="D30" t="str">
            <v>Bildor</v>
          </cell>
        </row>
        <row r="31">
          <cell r="C31" t="str">
            <v>Diafenthiuron 50% WP</v>
          </cell>
          <cell r="D31" t="str">
            <v>Billion</v>
          </cell>
        </row>
        <row r="32">
          <cell r="C32" t="str">
            <v>Diafenthiuron 50% WP</v>
          </cell>
          <cell r="D32" t="str">
            <v>Billion</v>
          </cell>
        </row>
        <row r="33">
          <cell r="C33" t="str">
            <v>Diafenthiuron 50% WP</v>
          </cell>
          <cell r="D33" t="str">
            <v>Billion</v>
          </cell>
        </row>
        <row r="34">
          <cell r="C34" t="str">
            <v>Tricontanol 0.1% EW</v>
          </cell>
          <cell r="D34" t="str">
            <v>Bilsan</v>
          </cell>
        </row>
        <row r="35">
          <cell r="C35" t="str">
            <v>Tricontanol 0.1% EW</v>
          </cell>
          <cell r="D35" t="str">
            <v>Bilsan</v>
          </cell>
        </row>
        <row r="36">
          <cell r="C36" t="str">
            <v>Tricontanol 0.1% EW</v>
          </cell>
          <cell r="D36" t="str">
            <v>Bilsan</v>
          </cell>
        </row>
        <row r="37">
          <cell r="C37" t="str">
            <v>Tricontanol 0.1% EW</v>
          </cell>
          <cell r="D37" t="str">
            <v>Bilsan</v>
          </cell>
        </row>
        <row r="38">
          <cell r="C38" t="str">
            <v>Tricontanol 0.1% EW</v>
          </cell>
          <cell r="D38" t="str">
            <v>Bilsan</v>
          </cell>
        </row>
        <row r="39">
          <cell r="C39" t="str">
            <v>Tricontanol 0.1% EW</v>
          </cell>
          <cell r="D39" t="str">
            <v>Bilsan</v>
          </cell>
        </row>
        <row r="40">
          <cell r="C40" t="str">
            <v>Azoxystrobin 18.2% + Difenconazole 11.4% SC</v>
          </cell>
          <cell r="D40" t="str">
            <v>Bilstar Top</v>
          </cell>
        </row>
        <row r="41">
          <cell r="C41" t="str">
            <v>Azoxystrobin 18.2% + Difenconazole 11.4% SC</v>
          </cell>
          <cell r="D41" t="str">
            <v>Bilstar Top</v>
          </cell>
        </row>
        <row r="42">
          <cell r="C42" t="str">
            <v>Azoxystrobin 18.2% + Difenconazole 11.4% SC</v>
          </cell>
          <cell r="D42" t="str">
            <v>Bilstar Top</v>
          </cell>
        </row>
        <row r="43">
          <cell r="C43" t="str">
            <v>Azoxystrobin 18.2% + Difenconazole 11.4% SC</v>
          </cell>
          <cell r="D43" t="str">
            <v>Bilstar Top</v>
          </cell>
        </row>
        <row r="44">
          <cell r="C44" t="str">
            <v>Fipronil 0.3% GR</v>
          </cell>
          <cell r="D44" t="str">
            <v>Biltop Gr</v>
          </cell>
        </row>
        <row r="45">
          <cell r="C45" t="str">
            <v>Fipronil 0.3% GR</v>
          </cell>
          <cell r="D45" t="str">
            <v>Biltop Gr</v>
          </cell>
        </row>
        <row r="46">
          <cell r="C46" t="str">
            <v>Fipronil 0.6% GR</v>
          </cell>
          <cell r="D46" t="str">
            <v>Biltop Gold Gr</v>
          </cell>
        </row>
        <row r="47">
          <cell r="C47" t="str">
            <v>Fipronil 0.6% GR</v>
          </cell>
          <cell r="D47" t="str">
            <v>Biltop Gold Gr</v>
          </cell>
        </row>
        <row r="48">
          <cell r="C48" t="str">
            <v>Fipronil 5% SC</v>
          </cell>
          <cell r="D48" t="str">
            <v>Biltop Sc</v>
          </cell>
        </row>
        <row r="49">
          <cell r="C49" t="str">
            <v>Fipronil 5% SC</v>
          </cell>
          <cell r="D49" t="str">
            <v>Biltop Sc</v>
          </cell>
        </row>
        <row r="50">
          <cell r="C50" t="str">
            <v>Fipronil 5% SC</v>
          </cell>
          <cell r="D50" t="str">
            <v>Biltop Sc</v>
          </cell>
        </row>
        <row r="51">
          <cell r="C51" t="str">
            <v>Fipronil 5% SC</v>
          </cell>
          <cell r="D51" t="str">
            <v>Biltop Sc</v>
          </cell>
        </row>
        <row r="52">
          <cell r="C52" t="str">
            <v>Novaluron 5.25% + Indoxacarb 4.5% SC</v>
          </cell>
          <cell r="D52" t="str">
            <v>Biltora</v>
          </cell>
        </row>
        <row r="53">
          <cell r="C53" t="str">
            <v>Novaluron 5.25% + Indoxacarb 4.5% SC</v>
          </cell>
          <cell r="D53" t="str">
            <v>Biltora</v>
          </cell>
        </row>
        <row r="54">
          <cell r="C54" t="str">
            <v>Novaluron 5.25% + Indoxacarb 4.5% SC</v>
          </cell>
          <cell r="D54" t="str">
            <v>Biltora</v>
          </cell>
        </row>
        <row r="55">
          <cell r="C55" t="str">
            <v>Novaluron 5.25% + Indoxacarb 4.5% SC</v>
          </cell>
          <cell r="D55" t="str">
            <v>Biltora</v>
          </cell>
        </row>
        <row r="56">
          <cell r="C56" t="str">
            <v>Diuron 80% WP</v>
          </cell>
          <cell r="D56" t="str">
            <v>Biuron</v>
          </cell>
        </row>
        <row r="57">
          <cell r="C57" t="str">
            <v>Pendimethalin 30% + Imazethapyr 2% EC</v>
          </cell>
          <cell r="D57" t="str">
            <v>Brash</v>
          </cell>
        </row>
        <row r="58">
          <cell r="C58" t="str">
            <v>Pendimethalin 30% + Imazethapyr 2% EC</v>
          </cell>
          <cell r="D58" t="str">
            <v>Brash</v>
          </cell>
        </row>
        <row r="59">
          <cell r="C59" t="str">
            <v>Glufisonate Ammonium 13.5% SL</v>
          </cell>
          <cell r="D59" t="str">
            <v>Brandish</v>
          </cell>
        </row>
        <row r="60">
          <cell r="C60" t="str">
            <v>Glufisonate Ammonium 13.5% SL</v>
          </cell>
          <cell r="D60" t="str">
            <v>Brandish</v>
          </cell>
        </row>
        <row r="61">
          <cell r="C61" t="str">
            <v>Glufisonate Ammonium 13.5% SL</v>
          </cell>
          <cell r="D61" t="str">
            <v>Brandish</v>
          </cell>
        </row>
        <row r="62">
          <cell r="C62" t="str">
            <v>Glufisonate Ammonium 13.5% SL</v>
          </cell>
          <cell r="D62" t="str">
            <v>Brandish</v>
          </cell>
        </row>
        <row r="63">
          <cell r="C63" t="str">
            <v>Quizalofop Ethyl 5% EC</v>
          </cell>
          <cell r="D63" t="str">
            <v>Builder</v>
          </cell>
        </row>
        <row r="64">
          <cell r="C64" t="str">
            <v>Quizalofop Ethyl 5% EC</v>
          </cell>
          <cell r="D64" t="str">
            <v>Builder</v>
          </cell>
        </row>
        <row r="65">
          <cell r="C65" t="str">
            <v>Quizalofop Ethyl 5% EC</v>
          </cell>
          <cell r="D65" t="str">
            <v>Builder</v>
          </cell>
        </row>
        <row r="66">
          <cell r="C66" t="str">
            <v>Quizalofop Ethyl 5% EC</v>
          </cell>
          <cell r="D66" t="str">
            <v>Builder</v>
          </cell>
        </row>
        <row r="67">
          <cell r="C67" t="str">
            <v>Emamectin Benzoate1.5% + Profenophos 35% WDG</v>
          </cell>
          <cell r="D67" t="str">
            <v>Boach</v>
          </cell>
        </row>
        <row r="68">
          <cell r="C68" t="str">
            <v>Emamectin Benzoate1.5% + Profenophos 35% WDG</v>
          </cell>
          <cell r="D68" t="str">
            <v>Boach</v>
          </cell>
        </row>
        <row r="69">
          <cell r="C69" t="str">
            <v>Emamectin Benzoate1.5% + Profenophos 35% WDG</v>
          </cell>
          <cell r="D69" t="str">
            <v>Boach</v>
          </cell>
        </row>
        <row r="70">
          <cell r="C70" t="str">
            <v>Cartap Hydrochloride 50% SP</v>
          </cell>
          <cell r="D70" t="str">
            <v>Bildan 50 Sp</v>
          </cell>
        </row>
        <row r="71">
          <cell r="C71" t="str">
            <v>Cartap Hydrochloride 50% SP</v>
          </cell>
          <cell r="D71" t="str">
            <v>Bildan 50 Sp</v>
          </cell>
        </row>
        <row r="72">
          <cell r="C72" t="str">
            <v>Cartap Hydrochloride 50% SP</v>
          </cell>
          <cell r="D72" t="str">
            <v>Bildan 50 Sp</v>
          </cell>
        </row>
        <row r="73">
          <cell r="C73" t="str">
            <v>Pendimethalin 38.7% CS</v>
          </cell>
          <cell r="D73" t="str">
            <v>Cleanguard</v>
          </cell>
        </row>
        <row r="74">
          <cell r="C74" t="str">
            <v>Pendimethalin 38.7% CS</v>
          </cell>
          <cell r="D74" t="str">
            <v>Cleanguard</v>
          </cell>
        </row>
        <row r="75">
          <cell r="C75" t="str">
            <v>Pendimethalin 38.7% CS</v>
          </cell>
          <cell r="D75" t="str">
            <v>Cleanguard</v>
          </cell>
        </row>
        <row r="76">
          <cell r="C76" t="str">
            <v>Pretilachlor 6% + Oxadiargyl 1% GR</v>
          </cell>
          <cell r="D76" t="str">
            <v>Crease</v>
          </cell>
        </row>
        <row r="77">
          <cell r="C77" t="str">
            <v>Pretilachlor 6% + Oxadiargyl 1% GR</v>
          </cell>
          <cell r="D77" t="str">
            <v>Crease</v>
          </cell>
        </row>
        <row r="78">
          <cell r="C78" t="str">
            <v>Pretilachlor 6% + Oxadiargyl 1% GR</v>
          </cell>
          <cell r="D78" t="str">
            <v>Crease</v>
          </cell>
        </row>
        <row r="79">
          <cell r="C79" t="str">
            <v>Cymoxilin 8% + Mancozeb 64% WP</v>
          </cell>
          <cell r="D79" t="str">
            <v>Custom</v>
          </cell>
        </row>
        <row r="80">
          <cell r="C80" t="str">
            <v>Cymoxilin 8% + Mancozeb 64% WP</v>
          </cell>
          <cell r="D80" t="str">
            <v>Custom</v>
          </cell>
        </row>
        <row r="81">
          <cell r="C81" t="str">
            <v>Cymoxilin 8% + Mancozeb 64% WP</v>
          </cell>
          <cell r="D81" t="str">
            <v>Custom</v>
          </cell>
        </row>
        <row r="82">
          <cell r="C82" t="str">
            <v>Cymoxilin 8% + Mancozeb 64% WP</v>
          </cell>
          <cell r="D82" t="str">
            <v>Custom</v>
          </cell>
        </row>
        <row r="83">
          <cell r="C83" t="str">
            <v>Fipronil 40% + Imidacloprid 40% WG</v>
          </cell>
          <cell r="D83" t="str">
            <v>Deed</v>
          </cell>
        </row>
        <row r="84">
          <cell r="C84" t="str">
            <v>Fipronil 40% + Imidacloprid 40% WG</v>
          </cell>
          <cell r="D84" t="str">
            <v>Deed</v>
          </cell>
        </row>
        <row r="85">
          <cell r="C85" t="str">
            <v>Fipronil 40% + Imidacloprid 40% WG</v>
          </cell>
          <cell r="D85" t="str">
            <v>Deed</v>
          </cell>
        </row>
        <row r="86">
          <cell r="C86" t="str">
            <v>Bacillus thuringiensis var. Kurstaki Serotype 3a, 3b, SA II WG</v>
          </cell>
          <cell r="D86" t="str">
            <v>Delfin Wg</v>
          </cell>
        </row>
        <row r="87">
          <cell r="C87" t="str">
            <v>Bacillus thuringiensis var. Kurstaki Serotype 3a, 3b, SA II WG</v>
          </cell>
          <cell r="D87" t="str">
            <v>Delfin Wg</v>
          </cell>
        </row>
        <row r="88">
          <cell r="C88" t="str">
            <v>Bacillus thuringiensis var. Kurstaki Serotype 3a, 3b, SA II WG</v>
          </cell>
          <cell r="D88" t="str">
            <v>Delfin Wg</v>
          </cell>
        </row>
        <row r="89">
          <cell r="C89" t="str">
            <v>Thiamethoxam 12.6% + Lambda Cyhalothrin 9.5% ZC</v>
          </cell>
          <cell r="D89" t="str">
            <v>Dhaak</v>
          </cell>
        </row>
        <row r="90">
          <cell r="C90" t="str">
            <v>Thiamethoxam 12.6% + Lambda Cyhalothrin 9.5% ZC</v>
          </cell>
          <cell r="D90" t="str">
            <v>Dhaak</v>
          </cell>
        </row>
        <row r="91">
          <cell r="C91" t="str">
            <v>Thiamethoxam 12.6% + Lambda Cyhalothrin 9.5% ZC</v>
          </cell>
          <cell r="D91" t="str">
            <v>Dhaak</v>
          </cell>
        </row>
        <row r="92">
          <cell r="C92" t="str">
            <v>Thiamethoxam 12.6% + Lambda Cyhalothrin 9.5% ZC</v>
          </cell>
          <cell r="D92" t="str">
            <v>Dhaak</v>
          </cell>
        </row>
        <row r="93">
          <cell r="C93" t="str">
            <v>Metsulfuron Methyl 10% + Chlorimuron Ethyl 10% WP</v>
          </cell>
          <cell r="D93" t="str">
            <v>Diggaj</v>
          </cell>
        </row>
        <row r="94">
          <cell r="C94" t="str">
            <v>Tolfenpyrad 15% EC</v>
          </cell>
          <cell r="D94" t="str">
            <v>Dinosaur</v>
          </cell>
        </row>
        <row r="95">
          <cell r="C95" t="str">
            <v>Tolfenpyrad 15% EC</v>
          </cell>
          <cell r="D95" t="str">
            <v>Dinosaur</v>
          </cell>
        </row>
        <row r="96">
          <cell r="C96" t="str">
            <v>Tolfenpyrad 15% EC</v>
          </cell>
          <cell r="D96" t="str">
            <v>Dinosaur</v>
          </cell>
        </row>
        <row r="97">
          <cell r="C97" t="str">
            <v>Tolfenpyrad 15% EC</v>
          </cell>
          <cell r="D97" t="str">
            <v>Dinosaur</v>
          </cell>
        </row>
        <row r="98">
          <cell r="C98" t="str">
            <v>Halosulfuron Methyl 75% WG</v>
          </cell>
          <cell r="D98" t="str">
            <v>Elaan</v>
          </cell>
        </row>
        <row r="99">
          <cell r="C99" t="str">
            <v>Halosulfuron Methyl 75% WG</v>
          </cell>
          <cell r="D99" t="str">
            <v>Elaan</v>
          </cell>
        </row>
        <row r="100">
          <cell r="C100" t="str">
            <v>Halosulfuron Methyl 75% WG</v>
          </cell>
          <cell r="D100" t="str">
            <v>Elaan</v>
          </cell>
        </row>
        <row r="101">
          <cell r="C101" t="str">
            <v>Pretilachlor 50% EC</v>
          </cell>
          <cell r="D101" t="str">
            <v>Errant</v>
          </cell>
        </row>
        <row r="102">
          <cell r="C102" t="str">
            <v>Pretilachlor 50% EC</v>
          </cell>
          <cell r="D102" t="str">
            <v>Errant</v>
          </cell>
        </row>
        <row r="103">
          <cell r="C103" t="str">
            <v>Pretilachlor 50% EC</v>
          </cell>
          <cell r="D103" t="str">
            <v>Errant</v>
          </cell>
        </row>
        <row r="104">
          <cell r="C104" t="str">
            <v>Pretilachlor 50% EC</v>
          </cell>
          <cell r="D104" t="str">
            <v>Errant</v>
          </cell>
        </row>
        <row r="105">
          <cell r="C105" t="str">
            <v>Pretilachlor 50% EC</v>
          </cell>
          <cell r="D105" t="str">
            <v>Errant</v>
          </cell>
        </row>
        <row r="106">
          <cell r="C106" t="str">
            <v>Pretilachlor 50% EC</v>
          </cell>
          <cell r="D106" t="str">
            <v>Errant</v>
          </cell>
        </row>
        <row r="107">
          <cell r="C107" t="str">
            <v>Pymetrozine 50% WG</v>
          </cell>
          <cell r="D107" t="str">
            <v>Fatal</v>
          </cell>
        </row>
        <row r="108">
          <cell r="C108" t="str">
            <v>Pymetrozine 50% WG</v>
          </cell>
          <cell r="D108" t="str">
            <v>Fatal</v>
          </cell>
        </row>
        <row r="109">
          <cell r="C109" t="str">
            <v>Pymetrozine 50% WG</v>
          </cell>
          <cell r="D109" t="str">
            <v>Fatal</v>
          </cell>
        </row>
        <row r="110">
          <cell r="C110" t="str">
            <v>Pymetrozine 50% WG</v>
          </cell>
          <cell r="D110" t="str">
            <v>Fatal</v>
          </cell>
        </row>
        <row r="111">
          <cell r="C111" t="str">
            <v>Bispyribac Sodium 10% SC</v>
          </cell>
          <cell r="D111" t="str">
            <v>Funai</v>
          </cell>
        </row>
        <row r="112">
          <cell r="C112" t="str">
            <v>Bispyribac Sodium 10% SC</v>
          </cell>
          <cell r="D112" t="str">
            <v>Funai</v>
          </cell>
        </row>
        <row r="113">
          <cell r="C113" t="str">
            <v>Bispyribac Sodium 10% SC</v>
          </cell>
          <cell r="D113" t="str">
            <v>Funai</v>
          </cell>
        </row>
        <row r="114">
          <cell r="C114" t="str">
            <v>Bispyribac Sodium 10% SC</v>
          </cell>
          <cell r="D114" t="str">
            <v>Funai</v>
          </cell>
        </row>
        <row r="115">
          <cell r="C115" t="str">
            <v>Bispyribac Sodium 10% SC</v>
          </cell>
          <cell r="D115" t="str">
            <v>Funai</v>
          </cell>
        </row>
        <row r="116">
          <cell r="C116" t="str">
            <v>Bispyribac Sodium 10% SC</v>
          </cell>
          <cell r="D116" t="str">
            <v>Funai</v>
          </cell>
        </row>
        <row r="117">
          <cell r="C117" t="str">
            <v>Quizalofop Ethyl 7.5% + Imazethapyr 15% EC</v>
          </cell>
          <cell r="D117" t="str">
            <v>Gottsu</v>
          </cell>
        </row>
        <row r="118">
          <cell r="C118" t="str">
            <v>Quizalofop Ethyl 7.5% + Imazethapyr 15% EC</v>
          </cell>
          <cell r="D118" t="str">
            <v>Gottsu</v>
          </cell>
        </row>
        <row r="119">
          <cell r="C119" t="str">
            <v>Quizalofop Ethyl 7.5% + Imazethapyr 15% EC</v>
          </cell>
          <cell r="D119" t="str">
            <v>Gottsu</v>
          </cell>
        </row>
        <row r="120">
          <cell r="C120" t="str">
            <v>Lambda Cyhalothrin 5% EC</v>
          </cell>
          <cell r="D120" t="str">
            <v>He-Man Super</v>
          </cell>
        </row>
        <row r="121">
          <cell r="C121" t="str">
            <v>Lambda Cyhalothrin 5% EC</v>
          </cell>
          <cell r="D121" t="str">
            <v>He-Man Super</v>
          </cell>
        </row>
        <row r="122">
          <cell r="C122" t="str">
            <v>Lambda Cyhalothrin 5% EC</v>
          </cell>
          <cell r="D122" t="str">
            <v>He-Man Super</v>
          </cell>
        </row>
        <row r="123">
          <cell r="C123" t="str">
            <v>Lambda Cyhalothrin 5% EC</v>
          </cell>
          <cell r="D123" t="str">
            <v>He-Man Super</v>
          </cell>
        </row>
        <row r="124">
          <cell r="C124" t="str">
            <v>Lambda Cyhalothrin 5% EC</v>
          </cell>
          <cell r="D124" t="str">
            <v>He-Man Super</v>
          </cell>
        </row>
        <row r="125">
          <cell r="C125" t="str">
            <v>Lambda Cyhalothrin 5% EC</v>
          </cell>
          <cell r="D125" t="str">
            <v>He-Man Super</v>
          </cell>
        </row>
        <row r="126">
          <cell r="C126" t="str">
            <v>Pyrithiobac Sodium 10% EC</v>
          </cell>
          <cell r="D126" t="str">
            <v>Himaraya</v>
          </cell>
        </row>
        <row r="127">
          <cell r="C127" t="str">
            <v>Pyrithiobac Sodium 10% EC</v>
          </cell>
          <cell r="D127" t="str">
            <v>Himaraya</v>
          </cell>
        </row>
        <row r="128">
          <cell r="C128" t="str">
            <v>Pyrithiobac Sodium 10% EC</v>
          </cell>
          <cell r="D128" t="str">
            <v>Himaraya</v>
          </cell>
        </row>
        <row r="129">
          <cell r="C129" t="str">
            <v>Flonicamid 50% WG</v>
          </cell>
          <cell r="D129" t="str">
            <v>Hideki</v>
          </cell>
        </row>
        <row r="130">
          <cell r="C130" t="str">
            <v>Flonicamid 50% WG</v>
          </cell>
          <cell r="D130" t="str">
            <v>Hideki</v>
          </cell>
        </row>
        <row r="131">
          <cell r="C131" t="str">
            <v>Flonicamid 50% WG</v>
          </cell>
          <cell r="D131" t="str">
            <v>Hideki</v>
          </cell>
        </row>
        <row r="132">
          <cell r="C132" t="str">
            <v>Flonicamid 50% WG</v>
          </cell>
          <cell r="D132" t="str">
            <v>Hideki</v>
          </cell>
        </row>
        <row r="133">
          <cell r="C133" t="str">
            <v>Flonicamid 50% WG</v>
          </cell>
          <cell r="D133" t="str">
            <v>Hideki</v>
          </cell>
        </row>
        <row r="134">
          <cell r="C134" t="str">
            <v>Amisulbrom 20% SC</v>
          </cell>
          <cell r="D134" t="str">
            <v>Hinode</v>
          </cell>
        </row>
        <row r="135">
          <cell r="C135" t="str">
            <v>Amisulbrom 20% SC</v>
          </cell>
          <cell r="D135" t="str">
            <v>Hinode</v>
          </cell>
        </row>
        <row r="136">
          <cell r="C136" t="str">
            <v>Silicon Spreader</v>
          </cell>
          <cell r="D136" t="str">
            <v>Ignition</v>
          </cell>
        </row>
        <row r="137">
          <cell r="C137" t="str">
            <v>Silicon Spreader</v>
          </cell>
          <cell r="D137" t="str">
            <v>Ignition</v>
          </cell>
        </row>
        <row r="138">
          <cell r="C138" t="str">
            <v>Silicon Spreader</v>
          </cell>
          <cell r="D138" t="str">
            <v>Ignition</v>
          </cell>
        </row>
        <row r="139">
          <cell r="C139" t="str">
            <v>Silicon Spreader</v>
          </cell>
          <cell r="D139" t="str">
            <v>Ignition</v>
          </cell>
        </row>
        <row r="140">
          <cell r="C140" t="str">
            <v>Silicon Spreader</v>
          </cell>
          <cell r="D140" t="str">
            <v>Ignition</v>
          </cell>
        </row>
        <row r="141">
          <cell r="C141" t="str">
            <v>Silicon Spreader</v>
          </cell>
          <cell r="D141" t="str">
            <v>Ignition</v>
          </cell>
        </row>
        <row r="142">
          <cell r="C142" t="str">
            <v>Chlorantraniliprole 18.5% SC</v>
          </cell>
          <cell r="D142" t="str">
            <v>Jadu</v>
          </cell>
        </row>
        <row r="143">
          <cell r="C143" t="str">
            <v>Chlorantraniliprole 18.5% SC</v>
          </cell>
          <cell r="D143" t="str">
            <v>Jadu</v>
          </cell>
        </row>
        <row r="144">
          <cell r="C144" t="str">
            <v>Chlorantraniliprole 18.5% SC</v>
          </cell>
          <cell r="D144" t="str">
            <v>Jadu</v>
          </cell>
        </row>
        <row r="145">
          <cell r="C145" t="str">
            <v>Chlorantraniliprole 18.5% SC</v>
          </cell>
          <cell r="D145" t="str">
            <v>Jadu</v>
          </cell>
        </row>
        <row r="146">
          <cell r="C146" t="str">
            <v>Propargite 42% + Hexythiazox 2% EC</v>
          </cell>
          <cell r="D146" t="str">
            <v>Kikude</v>
          </cell>
        </row>
        <row r="147">
          <cell r="C147" t="str">
            <v>Propargite 42% + Hexythiazox 2% EC</v>
          </cell>
          <cell r="D147" t="str">
            <v>Kikude</v>
          </cell>
        </row>
        <row r="148">
          <cell r="C148" t="str">
            <v>Propargite 42% + Hexythiazox 2% EC</v>
          </cell>
          <cell r="D148" t="str">
            <v>Kikude</v>
          </cell>
        </row>
        <row r="149">
          <cell r="C149" t="str">
            <v>Mesotrione 2.27% + Atrazine 22.7% SC</v>
          </cell>
          <cell r="D149" t="str">
            <v>Kiyoshi</v>
          </cell>
        </row>
        <row r="150">
          <cell r="C150" t="str">
            <v>Mesotrione 2.27% + Atrazine 22.7% SC</v>
          </cell>
          <cell r="D150" t="str">
            <v>Kiyoshi</v>
          </cell>
        </row>
        <row r="151">
          <cell r="C151" t="str">
            <v>Mesotrione 2.27% + Atrazine 22.7% SC</v>
          </cell>
          <cell r="D151" t="str">
            <v>Kiyoshi</v>
          </cell>
        </row>
        <row r="152">
          <cell r="C152" t="str">
            <v>Copper Hydroxide 46.1% WG</v>
          </cell>
          <cell r="D152" t="str">
            <v>Kocide 3000</v>
          </cell>
        </row>
        <row r="153">
          <cell r="C153" t="str">
            <v>Copper Hydroxide 46.1% WG</v>
          </cell>
          <cell r="D153" t="str">
            <v>Kocide 3000</v>
          </cell>
        </row>
        <row r="154">
          <cell r="C154" t="str">
            <v>Copper Hydroxide 46.1% WG</v>
          </cell>
          <cell r="D154" t="str">
            <v>Kocide 3000</v>
          </cell>
        </row>
        <row r="155">
          <cell r="C155" t="str">
            <v>Copper Hydroxide 46.1% WG</v>
          </cell>
          <cell r="D155" t="str">
            <v>Kocide 3000</v>
          </cell>
        </row>
        <row r="156">
          <cell r="C156" t="str">
            <v>Lambda Cyhalothrin 4.9% CS</v>
          </cell>
          <cell r="D156" t="str">
            <v>Labrador</v>
          </cell>
        </row>
        <row r="157">
          <cell r="C157" t="str">
            <v>Lambda Cyhalothrin 4.9% CS</v>
          </cell>
          <cell r="D157" t="str">
            <v>Labrador</v>
          </cell>
        </row>
        <row r="158">
          <cell r="C158" t="str">
            <v>Lambda Cyhalothrin 4.9% CS</v>
          </cell>
          <cell r="D158" t="str">
            <v>Labrador</v>
          </cell>
        </row>
        <row r="159">
          <cell r="C159" t="str">
            <v>Lambda Cyhalothrin 4.9% CS</v>
          </cell>
          <cell r="D159" t="str">
            <v>Labrador</v>
          </cell>
        </row>
        <row r="160">
          <cell r="C160" t="str">
            <v>Lambda Cyhalothrin 4.9% CS</v>
          </cell>
          <cell r="D160" t="str">
            <v>Labrador</v>
          </cell>
        </row>
        <row r="161">
          <cell r="C161" t="str">
            <v>Isoprothiolane 40% EC</v>
          </cell>
          <cell r="D161" t="str">
            <v>Lavazza</v>
          </cell>
        </row>
        <row r="162">
          <cell r="C162" t="str">
            <v>Isoprothiolane 40% EC</v>
          </cell>
          <cell r="D162" t="str">
            <v>Lavazza</v>
          </cell>
        </row>
        <row r="163">
          <cell r="C163" t="str">
            <v>Cyhalofop Butyl 5.1% + Penoxsulam 1.02% OD</v>
          </cell>
          <cell r="D163" t="str">
            <v>Meccha</v>
          </cell>
        </row>
        <row r="164">
          <cell r="C164" t="str">
            <v>Cyhalofop Butyl 5.1% + Penoxsulam 1.02% OD</v>
          </cell>
          <cell r="D164" t="str">
            <v>Meccha</v>
          </cell>
        </row>
        <row r="165">
          <cell r="C165" t="str">
            <v>Thifluzamide 24% SC</v>
          </cell>
          <cell r="D165" t="str">
            <v>Matsuri</v>
          </cell>
        </row>
        <row r="166">
          <cell r="C166" t="str">
            <v>Thifluzamide 24% SC</v>
          </cell>
          <cell r="D166" t="str">
            <v>Matsuri</v>
          </cell>
        </row>
        <row r="167">
          <cell r="C167" t="str">
            <v>Thifluzamide 24% SC</v>
          </cell>
          <cell r="D167" t="str">
            <v>Matsuri</v>
          </cell>
        </row>
        <row r="168">
          <cell r="C168" t="str">
            <v>Thifluzamide 24% SC</v>
          </cell>
          <cell r="D168" t="str">
            <v>Matsuri</v>
          </cell>
        </row>
        <row r="169">
          <cell r="C169" t="str">
            <v>Mancozeb 75% WP</v>
          </cell>
          <cell r="D169" t="str">
            <v>Mount 45</v>
          </cell>
        </row>
        <row r="170">
          <cell r="C170" t="str">
            <v>Mancozeb 75% WP</v>
          </cell>
          <cell r="D170" t="str">
            <v>Mount 45</v>
          </cell>
        </row>
        <row r="171">
          <cell r="C171" t="str">
            <v>Mancozeb 75% WP</v>
          </cell>
          <cell r="D171" t="str">
            <v>Mount 45</v>
          </cell>
        </row>
        <row r="172">
          <cell r="C172" t="str">
            <v>Hexythiazox 5.45% EC</v>
          </cell>
          <cell r="D172" t="str">
            <v>Nissorun</v>
          </cell>
        </row>
        <row r="173">
          <cell r="C173" t="str">
            <v>Hexythiazox 5.45% EC</v>
          </cell>
          <cell r="D173" t="str">
            <v>Nissorun</v>
          </cell>
        </row>
        <row r="174">
          <cell r="C174" t="str">
            <v>Hexythiazox 5.45% EC</v>
          </cell>
          <cell r="D174" t="str">
            <v>Nissorun</v>
          </cell>
        </row>
        <row r="175">
          <cell r="C175" t="str">
            <v>Hexythiazox 5.45% EC</v>
          </cell>
          <cell r="D175" t="str">
            <v>Nissorun</v>
          </cell>
        </row>
        <row r="176">
          <cell r="C176" t="str">
            <v>Hexythiazox 5.45% EC</v>
          </cell>
          <cell r="D176" t="str">
            <v>Nissorun</v>
          </cell>
        </row>
        <row r="177">
          <cell r="C177" t="str">
            <v>Paraquat Dichloride 24% SL</v>
          </cell>
          <cell r="D177" t="str">
            <v>Parakh</v>
          </cell>
        </row>
        <row r="178">
          <cell r="C178" t="str">
            <v>Paraquat Dichloride 24% SL</v>
          </cell>
          <cell r="D178" t="str">
            <v>Parakh</v>
          </cell>
        </row>
        <row r="179">
          <cell r="C179" t="str">
            <v>Paraquat Dichloride 24% SL</v>
          </cell>
          <cell r="D179" t="str">
            <v>Parakh</v>
          </cell>
        </row>
        <row r="180">
          <cell r="C180" t="str">
            <v>Thiamethoxam 25% WG</v>
          </cell>
          <cell r="D180" t="str">
            <v>Pele</v>
          </cell>
        </row>
        <row r="181">
          <cell r="C181" t="str">
            <v>Thiamethoxam 25% WG</v>
          </cell>
          <cell r="D181" t="str">
            <v>Pele</v>
          </cell>
        </row>
        <row r="182">
          <cell r="C182" t="str">
            <v>Thiamethoxam 25% WG</v>
          </cell>
          <cell r="D182" t="str">
            <v>Pele</v>
          </cell>
        </row>
        <row r="183">
          <cell r="C183" t="str">
            <v>Thiamethoxam 25% WG</v>
          </cell>
          <cell r="D183" t="str">
            <v>Pele</v>
          </cell>
        </row>
        <row r="184">
          <cell r="C184" t="str">
            <v>Thiamethoxam 25% WG</v>
          </cell>
          <cell r="D184" t="str">
            <v>Pele</v>
          </cell>
        </row>
        <row r="185">
          <cell r="C185" t="str">
            <v>Thiamethoxam 25% WG</v>
          </cell>
          <cell r="D185" t="str">
            <v>Pele-Jar</v>
          </cell>
        </row>
        <row r="186">
          <cell r="C186" t="str">
            <v>Thiamethoxam 25% WG</v>
          </cell>
          <cell r="D186" t="str">
            <v>Pele-Jar</v>
          </cell>
        </row>
        <row r="187">
          <cell r="C187" t="str">
            <v>Thiamethoxam 25% WG</v>
          </cell>
          <cell r="D187" t="str">
            <v>Pele-Jar</v>
          </cell>
        </row>
        <row r="188">
          <cell r="C188" t="str">
            <v>Thiamethoxam 30% FS</v>
          </cell>
          <cell r="D188" t="str">
            <v>Pele Gold</v>
          </cell>
        </row>
        <row r="189">
          <cell r="C189" t="str">
            <v>Thiamethoxam 30% FS</v>
          </cell>
          <cell r="D189" t="str">
            <v>Pele Gold</v>
          </cell>
        </row>
        <row r="190">
          <cell r="C190" t="str">
            <v>Thiamethoxam 30% FS</v>
          </cell>
          <cell r="D190" t="str">
            <v>Pele Gold</v>
          </cell>
        </row>
        <row r="191">
          <cell r="C191" t="str">
            <v>Thiamethoxam 30% FS</v>
          </cell>
          <cell r="D191" t="str">
            <v>Pele Gold</v>
          </cell>
        </row>
        <row r="192">
          <cell r="C192" t="str">
            <v>Pendimethalin 30% EC</v>
          </cell>
          <cell r="D192" t="str">
            <v>Penda-30</v>
          </cell>
        </row>
        <row r="193">
          <cell r="C193" t="str">
            <v>Pendimethalin 30% EC</v>
          </cell>
          <cell r="D193" t="str">
            <v>Penda-30</v>
          </cell>
        </row>
        <row r="194">
          <cell r="C194" t="str">
            <v>Pendimethalin 30% EC</v>
          </cell>
          <cell r="D194" t="str">
            <v>Penda-30</v>
          </cell>
        </row>
        <row r="195">
          <cell r="C195" t="str">
            <v>Pendimethalin 30% EC</v>
          </cell>
          <cell r="D195" t="str">
            <v>Penda-30</v>
          </cell>
        </row>
        <row r="196">
          <cell r="C196" t="str">
            <v>Acetamiprid 20% SP</v>
          </cell>
          <cell r="D196" t="str">
            <v>Pound</v>
          </cell>
        </row>
        <row r="197">
          <cell r="C197" t="str">
            <v>Acetamiprid 20% SP</v>
          </cell>
          <cell r="D197" t="str">
            <v>Pound</v>
          </cell>
        </row>
        <row r="198">
          <cell r="C198" t="str">
            <v>Acetamiprid 20% SP</v>
          </cell>
          <cell r="D198" t="str">
            <v>Pound</v>
          </cell>
        </row>
        <row r="199">
          <cell r="C199" t="str">
            <v>Acetamiprid 20% SP</v>
          </cell>
          <cell r="D199" t="str">
            <v>Pound</v>
          </cell>
        </row>
        <row r="200">
          <cell r="C200" t="str">
            <v>Acetamiprid 20% SP</v>
          </cell>
          <cell r="D200" t="str">
            <v>Pound</v>
          </cell>
        </row>
        <row r="201">
          <cell r="C201" t="str">
            <v>Profenophos 40% + Cypermethrin 4% EC</v>
          </cell>
          <cell r="D201" t="str">
            <v>Proceed Plus</v>
          </cell>
        </row>
        <row r="202">
          <cell r="C202" t="str">
            <v>Profenophos 40% + Cypermethrin 4% EC</v>
          </cell>
          <cell r="D202" t="str">
            <v>Proceed Plus</v>
          </cell>
        </row>
        <row r="203">
          <cell r="C203" t="str">
            <v>Profenophos 40% + Cypermethrin 4% EC</v>
          </cell>
          <cell r="D203" t="str">
            <v>Proceed Plus</v>
          </cell>
        </row>
        <row r="204">
          <cell r="C204" t="str">
            <v>Profenophos 40% + Cypermethrin 4% EC</v>
          </cell>
          <cell r="D204" t="str">
            <v>Proceed Plus</v>
          </cell>
        </row>
        <row r="205">
          <cell r="C205" t="str">
            <v>Profenophos 40% + Cypermethrin 4% EC</v>
          </cell>
          <cell r="D205" t="str">
            <v>Proceed Plus</v>
          </cell>
        </row>
        <row r="206">
          <cell r="C206" t="str">
            <v>Carbendazim 12% + Mancozeb 63% WP</v>
          </cell>
          <cell r="D206" t="str">
            <v>Ratan</v>
          </cell>
        </row>
        <row r="207">
          <cell r="C207" t="str">
            <v>Carbendazim 12% + Mancozeb 63% WP</v>
          </cell>
          <cell r="D207" t="str">
            <v>Ratan</v>
          </cell>
        </row>
        <row r="208">
          <cell r="C208" t="str">
            <v>Carbendazim 12% + Mancozeb 63% WP</v>
          </cell>
          <cell r="D208" t="str">
            <v>Ratan</v>
          </cell>
        </row>
        <row r="209">
          <cell r="C209" t="str">
            <v>Carbendazim 12% + Mancozeb 63% WP</v>
          </cell>
          <cell r="D209" t="str">
            <v>Ratan</v>
          </cell>
        </row>
        <row r="210">
          <cell r="C210" t="str">
            <v>Carbendazim 12% + Mancozeb 63% WP</v>
          </cell>
          <cell r="D210" t="str">
            <v>Ratan</v>
          </cell>
        </row>
        <row r="211">
          <cell r="C211" t="str">
            <v>Propiconazole 25% EC</v>
          </cell>
          <cell r="D211" t="str">
            <v>Remote</v>
          </cell>
        </row>
        <row r="212">
          <cell r="C212" t="str">
            <v>Propiconazole 25% EC</v>
          </cell>
          <cell r="D212" t="str">
            <v>Remote</v>
          </cell>
        </row>
        <row r="213">
          <cell r="C213" t="str">
            <v>Propiconazole 25% EC</v>
          </cell>
          <cell r="D213" t="str">
            <v>Remote</v>
          </cell>
        </row>
        <row r="214">
          <cell r="C214" t="str">
            <v>Glyphosate 41% SL</v>
          </cell>
          <cell r="D214" t="str">
            <v>Root Out</v>
          </cell>
        </row>
        <row r="215">
          <cell r="C215" t="str">
            <v>Glyphosate 41% SL</v>
          </cell>
          <cell r="D215" t="str">
            <v>Root Out</v>
          </cell>
        </row>
        <row r="216">
          <cell r="C216" t="str">
            <v>Glyphosate 41% SL</v>
          </cell>
          <cell r="D216" t="str">
            <v>Root Out</v>
          </cell>
        </row>
        <row r="217">
          <cell r="C217" t="str">
            <v>Glyphosate 41% SL</v>
          </cell>
          <cell r="D217" t="str">
            <v>Root Out</v>
          </cell>
        </row>
        <row r="218">
          <cell r="C218" t="str">
            <v>Glyphosate 41% SL</v>
          </cell>
          <cell r="D218" t="str">
            <v>Root Out</v>
          </cell>
        </row>
        <row r="219">
          <cell r="C219" t="str">
            <v>Topramezone 33.6 SC</v>
          </cell>
          <cell r="D219" t="str">
            <v>Subarashi</v>
          </cell>
        </row>
        <row r="220">
          <cell r="C220" t="str">
            <v>Topramezone 33.6 SC</v>
          </cell>
          <cell r="D220" t="str">
            <v>Subarashi</v>
          </cell>
        </row>
        <row r="221">
          <cell r="C221" t="str">
            <v>Topramezone 33.6 SC</v>
          </cell>
          <cell r="D221" t="str">
            <v>Subarashi</v>
          </cell>
        </row>
        <row r="222">
          <cell r="C222" t="str">
            <v>Imazethapyr 10% SL</v>
          </cell>
          <cell r="D222" t="str">
            <v>Shikhar</v>
          </cell>
        </row>
        <row r="223">
          <cell r="C223" t="str">
            <v>Imazethapyr 10% SL</v>
          </cell>
          <cell r="D223" t="str">
            <v>Shikhar</v>
          </cell>
        </row>
        <row r="224">
          <cell r="C224" t="str">
            <v>Imazethapyr 10% SL</v>
          </cell>
          <cell r="D224" t="str">
            <v>Shikhar</v>
          </cell>
        </row>
        <row r="225">
          <cell r="C225" t="str">
            <v>Fomesafen 11.1%+ Fluazifop P Buty 11.1% SL</v>
          </cell>
          <cell r="D225" t="str">
            <v>Syren</v>
          </cell>
        </row>
        <row r="226">
          <cell r="C226" t="str">
            <v>Fomesafen 11.1%+ Fluazifop P Buty 11.1% SL</v>
          </cell>
          <cell r="D226" t="str">
            <v>Syren</v>
          </cell>
        </row>
        <row r="227">
          <cell r="C227" t="str">
            <v>Fomesafen 11.1%+ Fluazifop P Buty 11.1% SL</v>
          </cell>
          <cell r="D227" t="str">
            <v>Syren</v>
          </cell>
        </row>
        <row r="228">
          <cell r="C228" t="str">
            <v xml:space="preserve">Metalaxyl 35% WS </v>
          </cell>
          <cell r="D228" t="str">
            <v>Top-35</v>
          </cell>
        </row>
        <row r="229">
          <cell r="C229" t="str">
            <v xml:space="preserve">Metalaxyl 35% WS </v>
          </cell>
          <cell r="D229" t="str">
            <v>Top-35</v>
          </cell>
        </row>
        <row r="230">
          <cell r="C230" t="str">
            <v xml:space="preserve">Metalaxyl 35% WS </v>
          </cell>
          <cell r="D230" t="str">
            <v>Top-35</v>
          </cell>
        </row>
        <row r="231">
          <cell r="C231" t="str">
            <v xml:space="preserve">Metalaxyl 35% WS </v>
          </cell>
          <cell r="D231" t="str">
            <v>Top-35</v>
          </cell>
        </row>
        <row r="232">
          <cell r="C232" t="str">
            <v>Atrazine 50% WP</v>
          </cell>
          <cell r="D232" t="str">
            <v>Tohfa</v>
          </cell>
        </row>
        <row r="233">
          <cell r="C233" t="str">
            <v xml:space="preserve">Thiophenate Methyl 70% WP </v>
          </cell>
          <cell r="D233" t="str">
            <v>Topsin</v>
          </cell>
        </row>
        <row r="234">
          <cell r="C234" t="str">
            <v xml:space="preserve">Thiophenate Methyl 70% WP </v>
          </cell>
          <cell r="D234" t="str">
            <v>Topsin</v>
          </cell>
        </row>
        <row r="235">
          <cell r="C235" t="str">
            <v xml:space="preserve">Thiophenate Methyl 70% WP </v>
          </cell>
          <cell r="D235" t="str">
            <v>Topsin</v>
          </cell>
        </row>
        <row r="236">
          <cell r="C236" t="str">
            <v xml:space="preserve">Thiophenate Methyl 70% WP </v>
          </cell>
          <cell r="D236" t="str">
            <v>Topsin</v>
          </cell>
        </row>
        <row r="237">
          <cell r="C237" t="str">
            <v>Emamectin Benzoate 5% SG</v>
          </cell>
          <cell r="D237" t="str">
            <v>Treta</v>
          </cell>
        </row>
        <row r="238">
          <cell r="C238" t="str">
            <v>Emamectin Benzoate 5% SG</v>
          </cell>
          <cell r="D238" t="str">
            <v>Treta</v>
          </cell>
        </row>
        <row r="239">
          <cell r="C239" t="str">
            <v>Emamectin Benzoate 5% SG</v>
          </cell>
          <cell r="D239" t="str">
            <v>Treta</v>
          </cell>
        </row>
        <row r="240">
          <cell r="C240" t="str">
            <v>Emamectin Benzoate 5% SG</v>
          </cell>
          <cell r="D240" t="str">
            <v>Treta</v>
          </cell>
        </row>
        <row r="241">
          <cell r="C241" t="str">
            <v>Emamectin Benzoate 5% SG</v>
          </cell>
          <cell r="D241" t="str">
            <v>Treta</v>
          </cell>
        </row>
        <row r="242">
          <cell r="C242" t="str">
            <v>Emamectin Benzoate 5% SG</v>
          </cell>
          <cell r="D242" t="str">
            <v>Treta</v>
          </cell>
        </row>
        <row r="243">
          <cell r="C243" t="str">
            <v>Hexaconazole 5% SC</v>
          </cell>
          <cell r="D243" t="str">
            <v>Udaan Plus</v>
          </cell>
        </row>
        <row r="244">
          <cell r="C244" t="str">
            <v>Hexaconazole 5% SC</v>
          </cell>
          <cell r="D244" t="str">
            <v>Udaan Plus</v>
          </cell>
        </row>
        <row r="245">
          <cell r="C245" t="str">
            <v>Hexaconazole 5% SC</v>
          </cell>
          <cell r="D245" t="str">
            <v>Udaan Plus</v>
          </cell>
        </row>
        <row r="246">
          <cell r="C246" t="str">
            <v>Hexaconazole 5% SC</v>
          </cell>
          <cell r="D246" t="str">
            <v>Udaan Plus</v>
          </cell>
        </row>
        <row r="247">
          <cell r="C247" t="str">
            <v>Hexaconazole 5% SC</v>
          </cell>
          <cell r="D247" t="str">
            <v>Udaan Plus</v>
          </cell>
        </row>
        <row r="248">
          <cell r="C248" t="str">
            <v>Paclobutrazol 40% SC</v>
          </cell>
          <cell r="D248" t="str">
            <v>Vestar</v>
          </cell>
        </row>
        <row r="249">
          <cell r="C249" t="str">
            <v>Paclobutrazol 40% SC</v>
          </cell>
          <cell r="D249" t="str">
            <v>Vestar</v>
          </cell>
        </row>
        <row r="250">
          <cell r="C250" t="str">
            <v>Paclobutrazol 40% SC</v>
          </cell>
          <cell r="D250" t="str">
            <v>Vestar</v>
          </cell>
        </row>
        <row r="251">
          <cell r="C251" t="str">
            <v>Azoxystrobin 11% EW + Tebuconazole 18.3% SC</v>
          </cell>
          <cell r="D251" t="str">
            <v>Viber</v>
          </cell>
        </row>
        <row r="252">
          <cell r="C252" t="str">
            <v>Azoxystrobin 11% EW + Tebuconazole 18.3% SC</v>
          </cell>
          <cell r="D252" t="str">
            <v>Viber</v>
          </cell>
        </row>
        <row r="253">
          <cell r="C253" t="str">
            <v>Azoxystrobin 11% EW + Tebuconazole 18.3% SC</v>
          </cell>
          <cell r="D253" t="str">
            <v>Viber</v>
          </cell>
        </row>
        <row r="254">
          <cell r="C254" t="str">
            <v>Azoxystrobin 11% EW + Tebuconazole 18.3% SC</v>
          </cell>
          <cell r="D254" t="str">
            <v>Viber</v>
          </cell>
        </row>
        <row r="255">
          <cell r="C255" t="str">
            <v>2,4 D Amine Salt 58% SL</v>
          </cell>
          <cell r="D255" t="str">
            <v>Weed Less 58</v>
          </cell>
        </row>
        <row r="256">
          <cell r="C256" t="str">
            <v>2,4 D Amine Salt 58% SL</v>
          </cell>
          <cell r="D256" t="str">
            <v>Weed Less 58</v>
          </cell>
        </row>
        <row r="257">
          <cell r="C257" t="str">
            <v>2,4 D Amine Salt 58% SL</v>
          </cell>
          <cell r="D257" t="str">
            <v>Weed Less 58</v>
          </cell>
        </row>
        <row r="258">
          <cell r="C258" t="str">
            <v>Pyrithiobac Sodium 6% + Quizalofop Ethyl 4% EC</v>
          </cell>
          <cell r="D258" t="str">
            <v>Weedout
Super</v>
          </cell>
        </row>
        <row r="259">
          <cell r="C259" t="str">
            <v>Pyrithiobac Sodium 6% + Quizalofop Ethyl 4% EC</v>
          </cell>
          <cell r="D259" t="str">
            <v>Weedout
Super</v>
          </cell>
        </row>
        <row r="260">
          <cell r="C260" t="str">
            <v>Tembotrione 34.4% SC</v>
          </cell>
          <cell r="D260" t="str">
            <v>Yarude</v>
          </cell>
        </row>
        <row r="261">
          <cell r="C261" t="str">
            <v>Tembotrione 34.4% SC</v>
          </cell>
          <cell r="D261" t="str">
            <v>Yarude</v>
          </cell>
        </row>
        <row r="262">
          <cell r="C262" t="str">
            <v>Tembotrione 34.4% SC</v>
          </cell>
          <cell r="D262" t="str">
            <v>Yarude</v>
          </cell>
        </row>
        <row r="263">
          <cell r="C263" t="str">
            <v>Metribuzin 70% WP</v>
          </cell>
          <cell r="D263" t="str">
            <v>Zero Weed</v>
          </cell>
        </row>
        <row r="264">
          <cell r="C264" t="str">
            <v>Metribuzin 70% WP</v>
          </cell>
          <cell r="D264" t="str">
            <v>Zero Weed</v>
          </cell>
        </row>
        <row r="265">
          <cell r="C265" t="str">
            <v>Metribuzin 70% WP</v>
          </cell>
          <cell r="D265" t="str">
            <v>Zero Weed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ump"/>
      <sheetName val="Delete"/>
      <sheetName val="PriceList"/>
    </sheetNames>
    <sheetDataSet>
      <sheetData sheetId="0"/>
      <sheetData sheetId="1"/>
      <sheetData sheetId="2">
        <row r="1">
          <cell r="C1" t="str">
            <v>Technical</v>
          </cell>
          <cell r="D1" t="str">
            <v>Product Name</v>
          </cell>
        </row>
        <row r="2">
          <cell r="C2" t="str">
            <v xml:space="preserve">Cypermethrin 25% EC </v>
          </cell>
          <cell r="D2" t="str">
            <v>Challenger 25</v>
          </cell>
        </row>
        <row r="3">
          <cell r="C3" t="str">
            <v xml:space="preserve">Cypermethrin 25% EC </v>
          </cell>
          <cell r="D3" t="str">
            <v>Challenger 25</v>
          </cell>
        </row>
        <row r="4">
          <cell r="C4" t="str">
            <v xml:space="preserve">Cypermethrin 25% EC </v>
          </cell>
          <cell r="D4" t="str">
            <v>Challenger 25</v>
          </cell>
        </row>
        <row r="5">
          <cell r="C5" t="str">
            <v xml:space="preserve">Cypermethrin 25% EC </v>
          </cell>
          <cell r="D5" t="str">
            <v>Challenger 25</v>
          </cell>
        </row>
        <row r="6">
          <cell r="C6" t="str">
            <v xml:space="preserve">Cypermethrin 25% EC </v>
          </cell>
          <cell r="D6" t="str">
            <v>Challenger 25</v>
          </cell>
        </row>
        <row r="7">
          <cell r="C7" t="str">
            <v>Cypermethrin 10% EC</v>
          </cell>
          <cell r="D7" t="str">
            <v>Challenger 10</v>
          </cell>
        </row>
        <row r="8">
          <cell r="C8" t="str">
            <v>Cypermethrin 10% EC</v>
          </cell>
          <cell r="D8" t="str">
            <v>Challenger 10</v>
          </cell>
        </row>
        <row r="9">
          <cell r="C9" t="str">
            <v>Cypermethrin 10% EC</v>
          </cell>
          <cell r="D9" t="str">
            <v>Challenger 10</v>
          </cell>
        </row>
        <row r="10">
          <cell r="C10" t="str">
            <v>Cypermethrin 10% EC</v>
          </cell>
          <cell r="D10" t="str">
            <v>Challenger 10</v>
          </cell>
        </row>
        <row r="11">
          <cell r="C11" t="str">
            <v>Cypermethrin 10% EC</v>
          </cell>
          <cell r="D11" t="str">
            <v>Challenger 10</v>
          </cell>
        </row>
        <row r="12">
          <cell r="C12" t="str">
            <v>Chlorpyrifos 50% EC</v>
          </cell>
          <cell r="D12" t="str">
            <v>Action-500</v>
          </cell>
        </row>
        <row r="13">
          <cell r="C13" t="str">
            <v>Chlorpyrifos 50% EC</v>
          </cell>
          <cell r="D13" t="str">
            <v>Action-500</v>
          </cell>
        </row>
        <row r="14">
          <cell r="C14" t="str">
            <v>Chlorpyrifos 50% EC</v>
          </cell>
          <cell r="D14" t="str">
            <v>Action-500</v>
          </cell>
        </row>
        <row r="15">
          <cell r="C15" t="str">
            <v>Chlorpyrifos 50% EC</v>
          </cell>
          <cell r="D15" t="str">
            <v>Action-500</v>
          </cell>
        </row>
        <row r="16">
          <cell r="C16" t="str">
            <v>Chlorpyrifos 50% EC</v>
          </cell>
          <cell r="D16" t="str">
            <v>Action-500</v>
          </cell>
        </row>
        <row r="17">
          <cell r="C17" t="str">
            <v>Chlorpyrifos 20% EC</v>
          </cell>
          <cell r="D17" t="str">
            <v>Tagban</v>
          </cell>
        </row>
        <row r="18">
          <cell r="C18" t="str">
            <v>Chlorpyrifos 20% EC</v>
          </cell>
          <cell r="D18" t="str">
            <v>Tagban</v>
          </cell>
        </row>
        <row r="19">
          <cell r="C19" t="str">
            <v>Chlorpyrifos 20% EC</v>
          </cell>
          <cell r="D19" t="str">
            <v>Tagban</v>
          </cell>
        </row>
        <row r="20">
          <cell r="C20" t="str">
            <v>Chlorpyrifos 20% EC</v>
          </cell>
          <cell r="D20" t="str">
            <v>Tagban</v>
          </cell>
        </row>
        <row r="21">
          <cell r="C21" t="str">
            <v>Chlorpyrifos 20% EC</v>
          </cell>
          <cell r="D21" t="str">
            <v>Tagban</v>
          </cell>
        </row>
        <row r="22">
          <cell r="C22" t="str">
            <v>Chlorpyrifos 10% GR</v>
          </cell>
          <cell r="D22" t="str">
            <v>Tagban Gold</v>
          </cell>
        </row>
        <row r="23">
          <cell r="C23" t="str">
            <v>Chlorpyrifos 10% GR</v>
          </cell>
          <cell r="D23" t="str">
            <v>Tagban Gold</v>
          </cell>
        </row>
        <row r="24">
          <cell r="C24" t="str">
            <v>Chlorpyrifos 16% + Alpha Cypermethrin 10% EC</v>
          </cell>
          <cell r="D24" t="str">
            <v>Alert</v>
          </cell>
        </row>
        <row r="25">
          <cell r="C25" t="str">
            <v>Chlorpyrifos 16% + Alpha Cypermethrin 10% EC</v>
          </cell>
          <cell r="D25" t="str">
            <v>Alert</v>
          </cell>
        </row>
        <row r="26">
          <cell r="C26" t="str">
            <v>Chlorpyrifos 16% + Alpha Cypermethrin 10% EC</v>
          </cell>
          <cell r="D26" t="str">
            <v>Alert</v>
          </cell>
        </row>
        <row r="27">
          <cell r="C27" t="str">
            <v>Chlorpyrifos 16% + Alpha Cypermethrin 10% EC</v>
          </cell>
          <cell r="D27" t="str">
            <v>Alert</v>
          </cell>
        </row>
        <row r="28">
          <cell r="C28" t="str">
            <v>Metribuzin 70% WP</v>
          </cell>
          <cell r="D28" t="str">
            <v>Dezier</v>
          </cell>
        </row>
        <row r="29">
          <cell r="C29" t="str">
            <v>Metribuzin 70% WP</v>
          </cell>
          <cell r="D29" t="str">
            <v>Dezier</v>
          </cell>
        </row>
        <row r="30">
          <cell r="C30" t="str">
            <v>Metribuzin 70% WP</v>
          </cell>
          <cell r="D30" t="str">
            <v>Dezier</v>
          </cell>
        </row>
        <row r="31">
          <cell r="C31" t="str">
            <v>Metribuzin 70% WP</v>
          </cell>
          <cell r="D31" t="str">
            <v>Dezier</v>
          </cell>
        </row>
        <row r="32">
          <cell r="C32" t="str">
            <v xml:space="preserve">Metalaxyl 35% WS </v>
          </cell>
          <cell r="D32" t="str">
            <v>Tagron 35 WS</v>
          </cell>
        </row>
        <row r="33">
          <cell r="C33" t="str">
            <v xml:space="preserve">Metalaxyl 35% WS </v>
          </cell>
          <cell r="D33" t="str">
            <v>Tagron 35 WS</v>
          </cell>
        </row>
        <row r="34">
          <cell r="C34" t="str">
            <v xml:space="preserve">Metalaxyl 35% WS </v>
          </cell>
          <cell r="D34" t="str">
            <v>Tagron 35 WS</v>
          </cell>
        </row>
        <row r="35">
          <cell r="C35" t="str">
            <v xml:space="preserve">Metalaxyl 35% WS </v>
          </cell>
          <cell r="D35" t="str">
            <v>Tagron 35 WS</v>
          </cell>
        </row>
        <row r="36">
          <cell r="C36" t="str">
            <v xml:space="preserve">Metalaxyl 35% WS </v>
          </cell>
          <cell r="D36" t="str">
            <v>Tagron 35 WS</v>
          </cell>
        </row>
        <row r="37">
          <cell r="C37" t="str">
            <v xml:space="preserve">Metalaxyl 35% WS </v>
          </cell>
          <cell r="D37" t="str">
            <v>Tagron 35 WS</v>
          </cell>
        </row>
        <row r="38">
          <cell r="C38" t="str">
            <v xml:space="preserve">Metalaxyl 35% WS </v>
          </cell>
          <cell r="D38" t="str">
            <v>Tagron 35 WS</v>
          </cell>
        </row>
        <row r="39">
          <cell r="C39" t="str">
            <v>Metalaxyl M 4% + Mancozeb 64% WP</v>
          </cell>
          <cell r="D39" t="str">
            <v>Tagmil</v>
          </cell>
        </row>
        <row r="40">
          <cell r="C40" t="str">
            <v>Metalaxyl M 4% + Mancozeb 64% WP</v>
          </cell>
          <cell r="D40" t="str">
            <v>Tagmil</v>
          </cell>
        </row>
        <row r="41">
          <cell r="C41" t="str">
            <v>Metalaxyl M 4% + Mancozeb 64% WP</v>
          </cell>
          <cell r="D41" t="str">
            <v>Tagmil</v>
          </cell>
        </row>
        <row r="42">
          <cell r="C42" t="str">
            <v>Metalaxyl M 4% + Mancozeb 64% WP</v>
          </cell>
          <cell r="D42" t="str">
            <v>Tagmil</v>
          </cell>
        </row>
        <row r="43">
          <cell r="C43" t="str">
            <v>Metalaxyl M 4% + Mancozeb 64% WP</v>
          </cell>
          <cell r="D43" t="str">
            <v>Tagmil</v>
          </cell>
        </row>
        <row r="44">
          <cell r="C44" t="str">
            <v>Carbendazim 12% + Mancozeb 63% WP</v>
          </cell>
          <cell r="D44" t="str">
            <v>Revive 750</v>
          </cell>
        </row>
        <row r="45">
          <cell r="C45" t="str">
            <v>Carbendazim 12% + Mancozeb 63% WP</v>
          </cell>
          <cell r="D45" t="str">
            <v>Revive 750</v>
          </cell>
        </row>
        <row r="46">
          <cell r="C46" t="str">
            <v>Carbendazim 12% + Mancozeb 63% WP</v>
          </cell>
          <cell r="D46" t="str">
            <v>Revive 750</v>
          </cell>
        </row>
        <row r="47">
          <cell r="C47" t="str">
            <v>Carbendazim 50% WP</v>
          </cell>
          <cell r="D47" t="str">
            <v>Tagstin</v>
          </cell>
        </row>
        <row r="48">
          <cell r="C48" t="str">
            <v>Carbendazim 50% WP</v>
          </cell>
          <cell r="D48" t="str">
            <v>Tagstin</v>
          </cell>
        </row>
        <row r="49">
          <cell r="C49" t="str">
            <v>Carbendazim 50% WP</v>
          </cell>
          <cell r="D49" t="str">
            <v>Tagstin</v>
          </cell>
        </row>
        <row r="50">
          <cell r="C50" t="str">
            <v>Carbendazim 50% WP</v>
          </cell>
          <cell r="D50" t="str">
            <v>Tagstin</v>
          </cell>
        </row>
        <row r="51">
          <cell r="C51" t="str">
            <v>Carbendazim 50% WP</v>
          </cell>
          <cell r="D51" t="str">
            <v>Tagstin</v>
          </cell>
        </row>
        <row r="52">
          <cell r="C52" t="str">
            <v>Ethephon 39% SL</v>
          </cell>
          <cell r="D52" t="str">
            <v>Tagpon-39</v>
          </cell>
        </row>
        <row r="53">
          <cell r="C53" t="str">
            <v>Ethephon 39% SL</v>
          </cell>
          <cell r="D53" t="str">
            <v>Tagpon-39</v>
          </cell>
        </row>
        <row r="54">
          <cell r="C54" t="str">
            <v>Ethephon 39% SL</v>
          </cell>
          <cell r="D54" t="str">
            <v>Tagpon-39</v>
          </cell>
        </row>
        <row r="55">
          <cell r="C55" t="str">
            <v>Ethephon 39% SL</v>
          </cell>
          <cell r="D55" t="str">
            <v>Tagpon-39</v>
          </cell>
        </row>
        <row r="56">
          <cell r="C56" t="str">
            <v>Cartap Hydrochloride 4% GR</v>
          </cell>
          <cell r="D56" t="str">
            <v>Fast 4G</v>
          </cell>
        </row>
        <row r="57">
          <cell r="C57" t="str">
            <v>Cartap Hydrochloride 4% GR</v>
          </cell>
          <cell r="D57" t="str">
            <v>Fast 4G</v>
          </cell>
        </row>
        <row r="58">
          <cell r="C58" t="str">
            <v>Cartap Hydrochloride 50% SP</v>
          </cell>
          <cell r="D58" t="str">
            <v>Fast</v>
          </cell>
        </row>
        <row r="59">
          <cell r="C59" t="str">
            <v>Cartap Hydrochloride 50% SP</v>
          </cell>
          <cell r="D59" t="str">
            <v>Fast</v>
          </cell>
        </row>
        <row r="60">
          <cell r="C60" t="str">
            <v>Cartap Hydrochloride 50% SP</v>
          </cell>
          <cell r="D60" t="str">
            <v>Fast</v>
          </cell>
        </row>
        <row r="61">
          <cell r="C61" t="str">
            <v>Cartap Hydrochloride 50% SP</v>
          </cell>
          <cell r="D61" t="str">
            <v>Fast</v>
          </cell>
        </row>
        <row r="62">
          <cell r="C62" t="str">
            <v>Tricontanol 0.1% EW</v>
          </cell>
          <cell r="D62" t="str">
            <v>Vishal</v>
          </cell>
        </row>
        <row r="63">
          <cell r="C63" t="str">
            <v>Tricontanol 0.1% EW</v>
          </cell>
          <cell r="D63" t="str">
            <v>Vishal</v>
          </cell>
        </row>
        <row r="64">
          <cell r="C64" t="str">
            <v>Tricontanol 0.1% EW</v>
          </cell>
          <cell r="D64" t="str">
            <v>Vishal</v>
          </cell>
        </row>
        <row r="65">
          <cell r="C65" t="str">
            <v>Tricontanol 0.1% EW</v>
          </cell>
          <cell r="D65" t="str">
            <v>Vishal</v>
          </cell>
        </row>
        <row r="66">
          <cell r="C66" t="str">
            <v>Tricontanol 0.1% EW</v>
          </cell>
          <cell r="D66" t="str">
            <v>Vishal</v>
          </cell>
        </row>
        <row r="67">
          <cell r="C67" t="str">
            <v>Gibberellic Acid 0.186% SP</v>
          </cell>
          <cell r="D67" t="str">
            <v>Tag Gibb</v>
          </cell>
        </row>
        <row r="68">
          <cell r="C68" t="str">
            <v>Gibberellic Acid 0.186% SP</v>
          </cell>
          <cell r="D68" t="str">
            <v>Tag Gibb</v>
          </cell>
        </row>
        <row r="69">
          <cell r="C69" t="str">
            <v>Gibberellic Acid 0.186% SP</v>
          </cell>
          <cell r="D69" t="str">
            <v>Tag Gibb</v>
          </cell>
        </row>
        <row r="70">
          <cell r="C70" t="str">
            <v>Gibberellic Acid 0.186% SP</v>
          </cell>
          <cell r="D70" t="str">
            <v>Tag Gibb</v>
          </cell>
        </row>
        <row r="71">
          <cell r="C71" t="str">
            <v>Gibberellic Acid 0.186% SP</v>
          </cell>
          <cell r="D71" t="str">
            <v>Tag Gibb</v>
          </cell>
        </row>
        <row r="72">
          <cell r="C72" t="str">
            <v>Imidacloprid 17.8% SL</v>
          </cell>
          <cell r="D72" t="str">
            <v>Magik</v>
          </cell>
        </row>
        <row r="73">
          <cell r="C73" t="str">
            <v>Imidacloprid 17.8% SL</v>
          </cell>
          <cell r="D73" t="str">
            <v>Magik</v>
          </cell>
        </row>
        <row r="74">
          <cell r="C74" t="str">
            <v>Imidacloprid 17.8% SL</v>
          </cell>
          <cell r="D74" t="str">
            <v>Magik</v>
          </cell>
        </row>
        <row r="75">
          <cell r="C75" t="str">
            <v>Imidacloprid 17.8% SL</v>
          </cell>
          <cell r="D75" t="str">
            <v>Magik</v>
          </cell>
        </row>
        <row r="76">
          <cell r="C76" t="str">
            <v>Imidacloprid 17.8% SL</v>
          </cell>
          <cell r="D76" t="str">
            <v>Magik</v>
          </cell>
        </row>
        <row r="77">
          <cell r="C77" t="str">
            <v xml:space="preserve">Imidacloprid 30.5% SC </v>
          </cell>
          <cell r="D77" t="str">
            <v>Magik Super</v>
          </cell>
        </row>
        <row r="78">
          <cell r="C78" t="str">
            <v xml:space="preserve">Imidacloprid 30.5% SC </v>
          </cell>
          <cell r="D78" t="str">
            <v>Magik Super</v>
          </cell>
        </row>
        <row r="79">
          <cell r="C79" t="str">
            <v xml:space="preserve">Imidacloprid 30.5% SC </v>
          </cell>
          <cell r="D79" t="str">
            <v>Magik Super</v>
          </cell>
        </row>
        <row r="80">
          <cell r="C80" t="str">
            <v xml:space="preserve">Imidacloprid 30.5% SC </v>
          </cell>
          <cell r="D80" t="str">
            <v>Magik Super</v>
          </cell>
        </row>
        <row r="81">
          <cell r="C81" t="str">
            <v xml:space="preserve">Imidacloprid 30.5% SC </v>
          </cell>
          <cell r="D81" t="str">
            <v>Magik Super</v>
          </cell>
        </row>
        <row r="82">
          <cell r="C82" t="str">
            <v>Imidacloprid 0.3% GR</v>
          </cell>
          <cell r="D82" t="str">
            <v>Magik Gold</v>
          </cell>
        </row>
        <row r="83">
          <cell r="C83" t="str">
            <v>Imidacloprid 0.3% GR</v>
          </cell>
          <cell r="D83" t="str">
            <v>Magik Gold</v>
          </cell>
        </row>
        <row r="84">
          <cell r="C84" t="str">
            <v>Chlorpyrifos 50% + Cypermethrin 5% EC</v>
          </cell>
          <cell r="D84" t="str">
            <v>Action 505</v>
          </cell>
        </row>
        <row r="85">
          <cell r="C85" t="str">
            <v>Chlorpyrifos 50% + Cypermethrin 5% EC</v>
          </cell>
          <cell r="D85" t="str">
            <v>Action 505</v>
          </cell>
        </row>
        <row r="86">
          <cell r="C86" t="str">
            <v>Chlorpyrifos 50% + Cypermethrin 5% EC</v>
          </cell>
          <cell r="D86" t="str">
            <v>Action 505</v>
          </cell>
        </row>
        <row r="87">
          <cell r="C87" t="str">
            <v>Chlorpyrifos 50% + Cypermethrin 5% EC</v>
          </cell>
          <cell r="D87" t="str">
            <v>Action 505</v>
          </cell>
        </row>
        <row r="88">
          <cell r="C88" t="str">
            <v>Chlorpyrifos 50% + Cypermethrin 5% EC</v>
          </cell>
          <cell r="D88" t="str">
            <v>Action 505</v>
          </cell>
        </row>
        <row r="89">
          <cell r="C89" t="str">
            <v>Sea Weed Extract</v>
          </cell>
          <cell r="D89" t="str">
            <v>Tagzyme Gr</v>
          </cell>
        </row>
        <row r="90">
          <cell r="C90" t="str">
            <v>Sea Weed Extract</v>
          </cell>
          <cell r="D90" t="str">
            <v>Tagzyme Gr</v>
          </cell>
        </row>
        <row r="91">
          <cell r="C91" t="str">
            <v>Sea Weed Extract</v>
          </cell>
          <cell r="D91" t="str">
            <v>Tagzyme Gr</v>
          </cell>
        </row>
        <row r="92">
          <cell r="C92" t="str">
            <v>Humacid</v>
          </cell>
          <cell r="D92" t="str">
            <v>Humacid</v>
          </cell>
        </row>
        <row r="93">
          <cell r="C93" t="str">
            <v>Humacid</v>
          </cell>
          <cell r="D93" t="str">
            <v>Humacid</v>
          </cell>
        </row>
        <row r="94">
          <cell r="C94" t="str">
            <v>Humacid</v>
          </cell>
          <cell r="D94" t="str">
            <v>Humacid</v>
          </cell>
        </row>
        <row r="95">
          <cell r="C95" t="str">
            <v>Humacid</v>
          </cell>
          <cell r="D95" t="str">
            <v>Humacid</v>
          </cell>
        </row>
        <row r="96">
          <cell r="C96" t="str">
            <v>Humacid</v>
          </cell>
          <cell r="D96" t="str">
            <v>Humacid</v>
          </cell>
        </row>
        <row r="97">
          <cell r="C97" t="str">
            <v>Humacid</v>
          </cell>
          <cell r="D97" t="str">
            <v>Humacid</v>
          </cell>
        </row>
        <row r="98">
          <cell r="C98" t="str">
            <v>Humacid</v>
          </cell>
          <cell r="D98" t="str">
            <v>Humacid</v>
          </cell>
        </row>
        <row r="99">
          <cell r="C99" t="str">
            <v>Lambda Cyhalothrin 2.5% EC</v>
          </cell>
          <cell r="D99" t="str">
            <v>Demand</v>
          </cell>
        </row>
        <row r="100">
          <cell r="C100" t="str">
            <v>Lambda Cyhalothrin 2.5% EC</v>
          </cell>
          <cell r="D100" t="str">
            <v>Demand</v>
          </cell>
        </row>
        <row r="101">
          <cell r="C101" t="str">
            <v>Lambda Cyhalothrin 2.5% EC</v>
          </cell>
          <cell r="D101" t="str">
            <v>Demand</v>
          </cell>
        </row>
        <row r="102">
          <cell r="C102" t="str">
            <v>Lambda Cyhalothrin 2.5% EC</v>
          </cell>
          <cell r="D102" t="str">
            <v>Demand</v>
          </cell>
        </row>
        <row r="103">
          <cell r="C103" t="str">
            <v>Lambda Cyhalothrin 2.5% EC</v>
          </cell>
          <cell r="D103" t="str">
            <v>Demand</v>
          </cell>
        </row>
        <row r="104">
          <cell r="C104" t="str">
            <v>Lambda Cyhalothrin 5% EC</v>
          </cell>
          <cell r="D104" t="str">
            <v>Tag Command</v>
          </cell>
        </row>
        <row r="105">
          <cell r="C105" t="str">
            <v>Lambda Cyhalothrin 5% EC</v>
          </cell>
          <cell r="D105" t="str">
            <v>Tag Command</v>
          </cell>
        </row>
        <row r="106">
          <cell r="C106" t="str">
            <v>Lambda Cyhalothrin 5% EC</v>
          </cell>
          <cell r="D106" t="str">
            <v>Tag Command</v>
          </cell>
        </row>
        <row r="107">
          <cell r="C107" t="str">
            <v>Lambda Cyhalothrin 5% EC</v>
          </cell>
          <cell r="D107" t="str">
            <v>Tag Command</v>
          </cell>
        </row>
        <row r="108">
          <cell r="C108" t="str">
            <v>Lambda Cyhalothrin 5% EC</v>
          </cell>
          <cell r="D108" t="str">
            <v>Tag Command</v>
          </cell>
        </row>
        <row r="109">
          <cell r="C109" t="str">
            <v>Lambda Cyhalothrin 4.9% CS</v>
          </cell>
          <cell r="D109" t="str">
            <v>Tag Command Super</v>
          </cell>
        </row>
        <row r="110">
          <cell r="C110" t="str">
            <v>Lambda Cyhalothrin 4.9% CS</v>
          </cell>
          <cell r="D110" t="str">
            <v>Tag Command Super</v>
          </cell>
        </row>
        <row r="111">
          <cell r="C111" t="str">
            <v>Lambda Cyhalothrin 4.9% CS</v>
          </cell>
          <cell r="D111" t="str">
            <v>Tag Command Super</v>
          </cell>
        </row>
        <row r="112">
          <cell r="C112" t="str">
            <v>Lambda Cyhalothrin 4.9% CS</v>
          </cell>
          <cell r="D112" t="str">
            <v>Tag Command Super</v>
          </cell>
        </row>
        <row r="113">
          <cell r="C113" t="str">
            <v>Hexaconazole 5% SC</v>
          </cell>
          <cell r="D113" t="str">
            <v xml:space="preserve">Hexacon Super </v>
          </cell>
        </row>
        <row r="114">
          <cell r="C114" t="str">
            <v>Hexaconazole 5% SC</v>
          </cell>
          <cell r="D114" t="str">
            <v>Hexacon Super</v>
          </cell>
        </row>
        <row r="115">
          <cell r="C115" t="str">
            <v>Hexaconazole 5% SC</v>
          </cell>
          <cell r="D115" t="str">
            <v>Hexacon Super</v>
          </cell>
        </row>
        <row r="116">
          <cell r="C116" t="str">
            <v>Hexaconazole 5% SC</v>
          </cell>
          <cell r="D116" t="str">
            <v>Hexacon Super</v>
          </cell>
        </row>
        <row r="117">
          <cell r="C117" t="str">
            <v>Hexaconazole 5% SC</v>
          </cell>
          <cell r="D117" t="str">
            <v>Hexacon Super</v>
          </cell>
        </row>
        <row r="118">
          <cell r="C118" t="str">
            <v>Captan 70% + Hexaconazole 5% WP</v>
          </cell>
          <cell r="D118" t="str">
            <v>Tag Cap Hex</v>
          </cell>
        </row>
        <row r="119">
          <cell r="C119" t="str">
            <v>Captan 70% + Hexaconazole 5% WP</v>
          </cell>
          <cell r="D119" t="str">
            <v>Tag Cap Hex</v>
          </cell>
        </row>
        <row r="120">
          <cell r="C120" t="str">
            <v>Captan 70% + Hexaconazole 5% WP</v>
          </cell>
          <cell r="D120" t="str">
            <v>Tag Cap Hex</v>
          </cell>
        </row>
        <row r="121">
          <cell r="C121" t="str">
            <v>Captan 70% + Hexaconazole 5% WP</v>
          </cell>
          <cell r="D121" t="str">
            <v>Tag Cap Hex</v>
          </cell>
        </row>
        <row r="122">
          <cell r="C122" t="str">
            <v>Tricyclozole 75% WP</v>
          </cell>
          <cell r="D122" t="str">
            <v>Tag Teem</v>
          </cell>
        </row>
        <row r="123">
          <cell r="C123" t="str">
            <v>Tricyclozole 75% WP</v>
          </cell>
          <cell r="D123" t="str">
            <v>Tag Teem</v>
          </cell>
        </row>
        <row r="124">
          <cell r="C124" t="str">
            <v>Tricyclozole 75% WP</v>
          </cell>
          <cell r="D124" t="str">
            <v>Tag Teem</v>
          </cell>
        </row>
        <row r="125">
          <cell r="C125" t="str">
            <v>Tricyclozole 75% WP</v>
          </cell>
          <cell r="D125" t="str">
            <v>Tag Teem</v>
          </cell>
        </row>
        <row r="126">
          <cell r="C126" t="str">
            <v>Atrazine 50% WP</v>
          </cell>
          <cell r="D126" t="str">
            <v>Tagtaf</v>
          </cell>
        </row>
        <row r="127">
          <cell r="C127" t="str">
            <v>Atrazine 50% WP</v>
          </cell>
          <cell r="D127" t="str">
            <v>Tagtaf</v>
          </cell>
        </row>
        <row r="128">
          <cell r="C128" t="str">
            <v>Atrazine 50% WP</v>
          </cell>
          <cell r="D128" t="str">
            <v>Tagtaf</v>
          </cell>
        </row>
        <row r="129">
          <cell r="C129" t="str">
            <v>Atrazine 50% WP</v>
          </cell>
          <cell r="D129" t="str">
            <v>Tagtaf</v>
          </cell>
        </row>
        <row r="130">
          <cell r="C130" t="str">
            <v>Wetting Agent</v>
          </cell>
          <cell r="D130" t="str">
            <v>Helper</v>
          </cell>
        </row>
        <row r="131">
          <cell r="C131" t="str">
            <v>Wetting Agent</v>
          </cell>
          <cell r="D131" t="str">
            <v>Helper</v>
          </cell>
        </row>
        <row r="132">
          <cell r="C132" t="str">
            <v>Wetting Agent</v>
          </cell>
          <cell r="D132" t="str">
            <v>Helper</v>
          </cell>
        </row>
        <row r="133">
          <cell r="C133" t="str">
            <v>Wetting Agent</v>
          </cell>
          <cell r="D133" t="str">
            <v>Helper</v>
          </cell>
        </row>
        <row r="134">
          <cell r="C134" t="str">
            <v>Wetting Agent</v>
          </cell>
          <cell r="D134" t="str">
            <v>Helper</v>
          </cell>
        </row>
        <row r="135">
          <cell r="C135" t="str">
            <v>Thiamethoxam 30% FS</v>
          </cell>
          <cell r="D135" t="str">
            <v>Magik Plus</v>
          </cell>
        </row>
        <row r="136">
          <cell r="C136" t="str">
            <v>Thiamethoxam 30% FS</v>
          </cell>
          <cell r="D136" t="str">
            <v>Magik Plus</v>
          </cell>
        </row>
        <row r="137">
          <cell r="C137" t="str">
            <v>Thiamethoxam 30% FS</v>
          </cell>
          <cell r="D137" t="str">
            <v>Magik Plus</v>
          </cell>
        </row>
        <row r="138">
          <cell r="C138" t="str">
            <v>Thiamethoxam 30% FS</v>
          </cell>
          <cell r="D138" t="str">
            <v>Magik Plus</v>
          </cell>
        </row>
        <row r="139">
          <cell r="C139" t="str">
            <v>Thiamethoxam 30% FS</v>
          </cell>
          <cell r="D139" t="str">
            <v>Magik Plus</v>
          </cell>
        </row>
        <row r="140">
          <cell r="C140" t="str">
            <v>Thiamethoxam 30% FS</v>
          </cell>
          <cell r="D140" t="str">
            <v>Magik Plus</v>
          </cell>
        </row>
        <row r="141">
          <cell r="C141" t="str">
            <v>Thiamethoxam 25% WG</v>
          </cell>
          <cell r="D141" t="str">
            <v>Tagxone</v>
          </cell>
        </row>
        <row r="142">
          <cell r="C142" t="str">
            <v>Thiamethoxam 25% WG</v>
          </cell>
          <cell r="D142" t="str">
            <v>Tagxone</v>
          </cell>
        </row>
        <row r="143">
          <cell r="C143" t="str">
            <v>Thiamethoxam 25% WG</v>
          </cell>
          <cell r="D143" t="str">
            <v>Tagxone</v>
          </cell>
        </row>
        <row r="144">
          <cell r="C144" t="str">
            <v>Thiamethoxam 25% WG</v>
          </cell>
          <cell r="D144" t="str">
            <v>Tagxone</v>
          </cell>
        </row>
        <row r="145">
          <cell r="C145" t="str">
            <v>Thiamethoxam 25% WG</v>
          </cell>
          <cell r="D145" t="str">
            <v>Tagxone</v>
          </cell>
        </row>
        <row r="146">
          <cell r="C146" t="str">
            <v>Pretilachlor 50% EC</v>
          </cell>
          <cell r="D146" t="str">
            <v>Taghit</v>
          </cell>
        </row>
        <row r="147">
          <cell r="C147" t="str">
            <v>Pretilachlor 50% EC</v>
          </cell>
          <cell r="D147" t="str">
            <v>Taghit</v>
          </cell>
        </row>
        <row r="148">
          <cell r="C148" t="str">
            <v>Pretilachlor 50% EC</v>
          </cell>
          <cell r="D148" t="str">
            <v>Taghit</v>
          </cell>
        </row>
        <row r="149">
          <cell r="C149" t="str">
            <v>Pretilachlor 50% EC</v>
          </cell>
          <cell r="D149" t="str">
            <v>Taghit</v>
          </cell>
        </row>
        <row r="150">
          <cell r="C150" t="str">
            <v>Pretilachlor 37% EW</v>
          </cell>
          <cell r="D150" t="str">
            <v>Taghit Super</v>
          </cell>
        </row>
        <row r="151">
          <cell r="C151" t="str">
            <v>Pretilachlor 37% EW</v>
          </cell>
          <cell r="D151" t="str">
            <v>Taghit Super</v>
          </cell>
        </row>
        <row r="152">
          <cell r="C152" t="str">
            <v>Pretilachlor 37% EW</v>
          </cell>
          <cell r="D152" t="str">
            <v>Taghit Super</v>
          </cell>
        </row>
        <row r="153">
          <cell r="C153" t="str">
            <v>Pretilachlor 37% EW</v>
          </cell>
          <cell r="D153" t="str">
            <v>Taghit Super</v>
          </cell>
        </row>
        <row r="154">
          <cell r="C154" t="str">
            <v>Profenophos 50% EC</v>
          </cell>
          <cell r="D154" t="str">
            <v>Tagpro</v>
          </cell>
        </row>
        <row r="155">
          <cell r="C155" t="str">
            <v>Profenophos 50% EC</v>
          </cell>
          <cell r="D155" t="str">
            <v>Tagpro</v>
          </cell>
        </row>
        <row r="156">
          <cell r="C156" t="str">
            <v>Profenophos 50% EC</v>
          </cell>
          <cell r="D156" t="str">
            <v>Tagpro</v>
          </cell>
        </row>
        <row r="157">
          <cell r="C157" t="str">
            <v>Profenophos 50% EC</v>
          </cell>
          <cell r="D157" t="str">
            <v>Tagpro</v>
          </cell>
        </row>
        <row r="158">
          <cell r="C158" t="str">
            <v>Profenophos 50% EC</v>
          </cell>
          <cell r="D158" t="str">
            <v>Tagpro</v>
          </cell>
        </row>
        <row r="159">
          <cell r="C159" t="str">
            <v>Profenophos 40% + Cypermethrin 4% EC</v>
          </cell>
          <cell r="D159" t="str">
            <v>Pataka</v>
          </cell>
        </row>
        <row r="160">
          <cell r="C160" t="str">
            <v>Profenophos 40% + Cypermethrin 4% EC</v>
          </cell>
          <cell r="D160" t="str">
            <v>Pataka</v>
          </cell>
        </row>
        <row r="161">
          <cell r="C161" t="str">
            <v>Profenophos 40% + Cypermethrin 4% EC</v>
          </cell>
          <cell r="D161" t="str">
            <v>Pataka</v>
          </cell>
        </row>
        <row r="162">
          <cell r="C162" t="str">
            <v>Profenophos 40% + Cypermethrin 4% EC</v>
          </cell>
          <cell r="D162" t="str">
            <v>Pataka</v>
          </cell>
        </row>
        <row r="163">
          <cell r="C163" t="str">
            <v>Profenophos 40% + Cypermethrin 4% EC</v>
          </cell>
          <cell r="D163" t="str">
            <v>Pataka</v>
          </cell>
        </row>
        <row r="164">
          <cell r="C164" t="str">
            <v>Sulpher 40% SC</v>
          </cell>
          <cell r="D164" t="str">
            <v>Tagsul-DF</v>
          </cell>
        </row>
        <row r="165">
          <cell r="C165" t="str">
            <v>Sulpher 40% SC</v>
          </cell>
          <cell r="D165" t="str">
            <v>Tagsul-DF</v>
          </cell>
        </row>
        <row r="166">
          <cell r="C166" t="str">
            <v>Sulpher 40% SC</v>
          </cell>
          <cell r="D166" t="str">
            <v>Tagsul-DF</v>
          </cell>
        </row>
        <row r="167">
          <cell r="C167" t="str">
            <v>Paraquat Dichloride 24% SL</v>
          </cell>
          <cell r="D167" t="str">
            <v>Tagquit</v>
          </cell>
        </row>
        <row r="168">
          <cell r="C168" t="str">
            <v>Paraquat Dichloride 24% SL</v>
          </cell>
          <cell r="D168" t="str">
            <v>Tagquit</v>
          </cell>
        </row>
        <row r="169">
          <cell r="C169" t="str">
            <v>Paraquat Dichloride 24% SL</v>
          </cell>
          <cell r="D169" t="str">
            <v>Tagquit</v>
          </cell>
        </row>
        <row r="170">
          <cell r="C170" t="str">
            <v>Paraquat Dichloride 24% SL</v>
          </cell>
          <cell r="D170" t="str">
            <v>Tagquit</v>
          </cell>
        </row>
        <row r="171">
          <cell r="C171" t="str">
            <v>Paraquat Dichloride 24% SL</v>
          </cell>
          <cell r="D171" t="str">
            <v>Tagquit</v>
          </cell>
        </row>
        <row r="172">
          <cell r="C172" t="str">
            <v>Paraquat Dichloride 24% SL</v>
          </cell>
          <cell r="D172" t="str">
            <v>Tagquit</v>
          </cell>
        </row>
        <row r="173">
          <cell r="C173" t="str">
            <v>Pendimethalin 30% EC</v>
          </cell>
          <cell r="D173" t="str">
            <v>Tagpendi</v>
          </cell>
        </row>
        <row r="174">
          <cell r="C174" t="str">
            <v>Pendimethalin 30% EC</v>
          </cell>
          <cell r="D174" t="str">
            <v>Tagpendi</v>
          </cell>
        </row>
        <row r="175">
          <cell r="C175" t="str">
            <v>Pendimethalin 30% EC</v>
          </cell>
          <cell r="D175" t="str">
            <v>Tagpendi</v>
          </cell>
        </row>
        <row r="176">
          <cell r="C176" t="str">
            <v>Pendimethalin 30% EC</v>
          </cell>
          <cell r="D176" t="str">
            <v>Tagpendi</v>
          </cell>
        </row>
        <row r="177">
          <cell r="C177" t="str">
            <v>Deltamethrin 11% EC</v>
          </cell>
          <cell r="D177" t="str">
            <v>Tagcis</v>
          </cell>
        </row>
        <row r="178">
          <cell r="C178" t="str">
            <v>Deltamethrin 11% EC</v>
          </cell>
          <cell r="D178" t="str">
            <v>Tagcis</v>
          </cell>
        </row>
        <row r="179">
          <cell r="C179" t="str">
            <v>Deltamethrin 11% EC</v>
          </cell>
          <cell r="D179" t="str">
            <v>Tagcis</v>
          </cell>
        </row>
        <row r="180">
          <cell r="C180" t="str">
            <v>Deltamethrin 11% EC</v>
          </cell>
          <cell r="D180" t="str">
            <v>Tagcis</v>
          </cell>
        </row>
        <row r="181">
          <cell r="C181" t="str">
            <v>Propiconazole 25% EC</v>
          </cell>
          <cell r="D181" t="str">
            <v>Tagzole</v>
          </cell>
        </row>
        <row r="182">
          <cell r="C182" t="str">
            <v>Propiconazole 25% EC</v>
          </cell>
          <cell r="D182" t="str">
            <v>Tagzole</v>
          </cell>
        </row>
        <row r="183">
          <cell r="C183" t="str">
            <v>Propiconazole 25% EC</v>
          </cell>
          <cell r="D183" t="str">
            <v>Tagzole</v>
          </cell>
        </row>
        <row r="184">
          <cell r="C184" t="str">
            <v>Propiconazole 25% EC</v>
          </cell>
          <cell r="D184" t="str">
            <v>Tagzole</v>
          </cell>
        </row>
        <row r="185">
          <cell r="C185" t="str">
            <v>Propiconazole 25% EC</v>
          </cell>
          <cell r="D185" t="str">
            <v>Tagzole</v>
          </cell>
        </row>
        <row r="186">
          <cell r="C186" t="str">
            <v>Fipronil 5% SC</v>
          </cell>
          <cell r="D186" t="str">
            <v>Tag Agent</v>
          </cell>
        </row>
        <row r="187">
          <cell r="C187" t="str">
            <v>Fipronil 5% SC</v>
          </cell>
          <cell r="D187" t="str">
            <v>Tag Agent</v>
          </cell>
        </row>
        <row r="188">
          <cell r="C188" t="str">
            <v>Fipronil 5% SC</v>
          </cell>
          <cell r="D188" t="str">
            <v>Tag Agent</v>
          </cell>
        </row>
        <row r="189">
          <cell r="C189" t="str">
            <v>Fipronil 5% SC</v>
          </cell>
          <cell r="D189" t="str">
            <v>Tag Agent</v>
          </cell>
        </row>
        <row r="190">
          <cell r="C190" t="str">
            <v>Fipronil 0.3% GR</v>
          </cell>
          <cell r="D190" t="str">
            <v>Tag Agent GR</v>
          </cell>
        </row>
        <row r="191">
          <cell r="C191" t="str">
            <v>Fipronil 0.3% GR</v>
          </cell>
          <cell r="D191" t="str">
            <v>Tag Agent GR</v>
          </cell>
        </row>
        <row r="192">
          <cell r="C192" t="str">
            <v>Fipronil 0.6% GR</v>
          </cell>
          <cell r="D192" t="str">
            <v>Tag Agent Ultra</v>
          </cell>
        </row>
        <row r="193">
          <cell r="C193" t="str">
            <v>Fipronil 0.6% GR</v>
          </cell>
          <cell r="D193" t="str">
            <v>Tag Agent Ultra</v>
          </cell>
        </row>
        <row r="194">
          <cell r="C194" t="str">
            <v>Fipronil 0.6% GR</v>
          </cell>
          <cell r="D194" t="str">
            <v>Tag Agent Ultra</v>
          </cell>
        </row>
        <row r="195">
          <cell r="C195" t="str">
            <v>Fipronil 0.6% GR</v>
          </cell>
          <cell r="D195" t="str">
            <v>Tag Agent Ultra</v>
          </cell>
        </row>
        <row r="196">
          <cell r="C196" t="str">
            <v>Fipronil 80% WG</v>
          </cell>
          <cell r="D196" t="str">
            <v>Tag Trump</v>
          </cell>
        </row>
        <row r="197">
          <cell r="C197" t="str">
            <v>Fipronil 80% WG</v>
          </cell>
          <cell r="D197" t="str">
            <v>Tag Trump</v>
          </cell>
        </row>
        <row r="198">
          <cell r="C198" t="str">
            <v>Fipronil 80% WG</v>
          </cell>
          <cell r="D198" t="str">
            <v>Tag Trump</v>
          </cell>
        </row>
        <row r="199">
          <cell r="C199" t="str">
            <v>Captan 50% WP</v>
          </cell>
          <cell r="D199" t="str">
            <v>Captan Gold</v>
          </cell>
        </row>
        <row r="200">
          <cell r="C200" t="str">
            <v>Captan 50% WP</v>
          </cell>
          <cell r="D200" t="str">
            <v>Captan Gold</v>
          </cell>
        </row>
        <row r="201">
          <cell r="C201" t="str">
            <v>Captan 50% WP</v>
          </cell>
          <cell r="D201" t="str">
            <v>Captan Gold</v>
          </cell>
        </row>
        <row r="202">
          <cell r="C202" t="str">
            <v>Captan 50% WP</v>
          </cell>
          <cell r="D202" t="str">
            <v>Captan Gold</v>
          </cell>
        </row>
        <row r="203">
          <cell r="C203" t="str">
            <v>Imazethapyr 10% SL</v>
          </cell>
          <cell r="D203" t="str">
            <v>Tagpyr</v>
          </cell>
        </row>
        <row r="204">
          <cell r="C204" t="str">
            <v>Imazethapyr 10% SL</v>
          </cell>
          <cell r="D204" t="str">
            <v>Tagpyr</v>
          </cell>
        </row>
        <row r="205">
          <cell r="C205" t="str">
            <v>Imazethapyr 10% SL</v>
          </cell>
          <cell r="D205" t="str">
            <v>Tagpyr</v>
          </cell>
        </row>
        <row r="206">
          <cell r="C206" t="str">
            <v xml:space="preserve">Validamycin 3% SL </v>
          </cell>
          <cell r="D206" t="str">
            <v>Tagmar 20-20</v>
          </cell>
        </row>
        <row r="207">
          <cell r="C207" t="str">
            <v xml:space="preserve">Validamycin 3% SL </v>
          </cell>
          <cell r="D207" t="str">
            <v>Tagmar 20-20</v>
          </cell>
        </row>
        <row r="208">
          <cell r="C208" t="str">
            <v xml:space="preserve">Validamycin 3% SL </v>
          </cell>
          <cell r="D208" t="str">
            <v>Tagmar 20-20</v>
          </cell>
        </row>
        <row r="209">
          <cell r="C209" t="str">
            <v xml:space="preserve">Validamycin 3% SL </v>
          </cell>
          <cell r="D209" t="str">
            <v>Tagmar 20-20</v>
          </cell>
        </row>
        <row r="210">
          <cell r="C210" t="str">
            <v>Metiram 55% + Pyraclostrobin 5% WG</v>
          </cell>
          <cell r="D210" t="str">
            <v>Mantram</v>
          </cell>
        </row>
        <row r="211">
          <cell r="C211" t="str">
            <v>Metiram 55% + Pyraclostrobin 5% WG</v>
          </cell>
          <cell r="D211" t="str">
            <v>Mantram</v>
          </cell>
        </row>
        <row r="212">
          <cell r="C212" t="str">
            <v>Metiram 55% + Pyraclostrobin 5% WG</v>
          </cell>
          <cell r="D212" t="str">
            <v>Mantram</v>
          </cell>
        </row>
        <row r="213">
          <cell r="C213" t="str">
            <v>Fluopyram 17.7% + Tebuconazole 17.7% SC</v>
          </cell>
          <cell r="D213" t="str">
            <v>Tag Xperience</v>
          </cell>
        </row>
        <row r="214">
          <cell r="C214" t="str">
            <v>Fluopyram 17.7% + Tebuconazole 17.7% SC</v>
          </cell>
          <cell r="D214" t="str">
            <v>Tag Xperience</v>
          </cell>
        </row>
        <row r="215">
          <cell r="C215" t="str">
            <v>Fluopyram 17.7% + Tebuconazole 17.7% SC</v>
          </cell>
          <cell r="D215" t="str">
            <v>Tag Xperience</v>
          </cell>
        </row>
        <row r="216">
          <cell r="C216" t="str">
            <v>Fluopyram 17.7% + Tebuconazole 17.7% SC</v>
          </cell>
          <cell r="D216" t="str">
            <v>Tag Xperience</v>
          </cell>
        </row>
        <row r="217">
          <cell r="C217" t="str">
            <v>Gibberellic Acid 40% WSG</v>
          </cell>
          <cell r="D217" t="str">
            <v>Tag Gibb Gold</v>
          </cell>
        </row>
        <row r="218">
          <cell r="C218" t="str">
            <v>Gibberellic Acid 40% WSG</v>
          </cell>
          <cell r="D218" t="str">
            <v>Tag Gibb Gold</v>
          </cell>
        </row>
        <row r="219">
          <cell r="C219" t="str">
            <v>Gibberellic Acid 40% WSG</v>
          </cell>
          <cell r="D219" t="str">
            <v>Tag Gibb Gold</v>
          </cell>
        </row>
        <row r="220">
          <cell r="C220" t="str">
            <v>Imidacloprid 70% WG</v>
          </cell>
          <cell r="D220" t="str">
            <v>Tagprid</v>
          </cell>
        </row>
        <row r="221">
          <cell r="C221" t="str">
            <v>Imidacloprid 70% WG</v>
          </cell>
          <cell r="D221" t="str">
            <v>Tagprid</v>
          </cell>
        </row>
        <row r="222">
          <cell r="C222" t="str">
            <v>Imidacloprid 70% WG</v>
          </cell>
          <cell r="D222" t="str">
            <v>Tagprid</v>
          </cell>
        </row>
        <row r="223">
          <cell r="C223" t="str">
            <v>Imidacloprid 70% WG</v>
          </cell>
          <cell r="D223" t="str">
            <v>Tagprid</v>
          </cell>
        </row>
        <row r="224">
          <cell r="C224" t="str">
            <v>Imidacloprid 70% WG</v>
          </cell>
          <cell r="D224" t="str">
            <v>Tagprid</v>
          </cell>
        </row>
        <row r="225">
          <cell r="C225" t="str">
            <v>Cymoxilin 8% + Mancozeb 64% WP</v>
          </cell>
          <cell r="D225" t="str">
            <v>Crizol</v>
          </cell>
        </row>
        <row r="226">
          <cell r="C226" t="str">
            <v>Cymoxilin 8% + Mancozeb 64% WP</v>
          </cell>
          <cell r="D226" t="str">
            <v>Crizol</v>
          </cell>
        </row>
        <row r="227">
          <cell r="C227" t="str">
            <v>Ethion 40% + Cypermethrin 5% EC</v>
          </cell>
          <cell r="D227" t="str">
            <v>Sonata</v>
          </cell>
        </row>
        <row r="228">
          <cell r="C228" t="str">
            <v>Ethion 40% + Cypermethrin 5% EC</v>
          </cell>
          <cell r="D228" t="str">
            <v>Sonata</v>
          </cell>
        </row>
        <row r="229">
          <cell r="C229" t="str">
            <v>Ethion 40% + Cypermethrin 5% EC</v>
          </cell>
          <cell r="D229" t="str">
            <v>Sonata</v>
          </cell>
        </row>
        <row r="230">
          <cell r="C230" t="str">
            <v>Ethion 40% + Cypermethrin 5% EC</v>
          </cell>
          <cell r="D230" t="str">
            <v>Sonata</v>
          </cell>
        </row>
        <row r="231">
          <cell r="C231" t="str">
            <v>Ethion 40% + Cypermethrin 5% EC</v>
          </cell>
          <cell r="D231" t="str">
            <v>Sonata</v>
          </cell>
        </row>
        <row r="232">
          <cell r="C232" t="str">
            <v xml:space="preserve">Thiophenate Methyl 70% WP </v>
          </cell>
          <cell r="D232" t="str">
            <v>Tagsin-M</v>
          </cell>
        </row>
        <row r="233">
          <cell r="C233" t="str">
            <v xml:space="preserve">Thiophenate Methyl 70% WP </v>
          </cell>
          <cell r="D233" t="str">
            <v>Tagsin-M</v>
          </cell>
        </row>
        <row r="234">
          <cell r="C234" t="str">
            <v xml:space="preserve">Thiophenate Methyl 70% WP </v>
          </cell>
          <cell r="D234" t="str">
            <v>Tagsin-M</v>
          </cell>
        </row>
        <row r="235">
          <cell r="C235" t="str">
            <v xml:space="preserve">Thiophenate Methyl 70% WP </v>
          </cell>
          <cell r="D235" t="str">
            <v>Tagsin-M</v>
          </cell>
        </row>
        <row r="236">
          <cell r="C236" t="str">
            <v>Organic Manure GR</v>
          </cell>
          <cell r="D236" t="str">
            <v>Nasa</v>
          </cell>
        </row>
        <row r="237">
          <cell r="C237" t="str">
            <v>Organic Manure GR</v>
          </cell>
          <cell r="D237" t="str">
            <v>Nasa</v>
          </cell>
        </row>
        <row r="238">
          <cell r="C238" t="str">
            <v>Organic Manure GR</v>
          </cell>
          <cell r="D238" t="str">
            <v>Nasa</v>
          </cell>
        </row>
        <row r="239">
          <cell r="C239" t="str">
            <v>Organic Manure GR</v>
          </cell>
          <cell r="D239" t="str">
            <v>Nasa Gold</v>
          </cell>
        </row>
        <row r="240">
          <cell r="C240" t="str">
            <v>Organic Manure GR</v>
          </cell>
          <cell r="D240" t="str">
            <v>Nasa</v>
          </cell>
        </row>
        <row r="241">
          <cell r="C241" t="str">
            <v>Organic Manure GR</v>
          </cell>
          <cell r="D241" t="str">
            <v>Nasa</v>
          </cell>
        </row>
        <row r="242">
          <cell r="C242" t="str">
            <v>Organic Manure GR</v>
          </cell>
          <cell r="D242" t="str">
            <v>Nasa Gr</v>
          </cell>
        </row>
        <row r="243">
          <cell r="C243" t="str">
            <v>Organic Manure GR</v>
          </cell>
          <cell r="D243" t="str">
            <v>Nasa</v>
          </cell>
        </row>
        <row r="244">
          <cell r="C244" t="str">
            <v>Organic Manure GR</v>
          </cell>
          <cell r="D244" t="str">
            <v>Nasa Gold</v>
          </cell>
        </row>
        <row r="245">
          <cell r="C245" t="str">
            <v>Organic Manure GR</v>
          </cell>
          <cell r="D245" t="str">
            <v>Nasa Gold</v>
          </cell>
        </row>
        <row r="246">
          <cell r="C246" t="str">
            <v>Organic Manure GR</v>
          </cell>
          <cell r="D246" t="str">
            <v>Nasa Gr</v>
          </cell>
        </row>
        <row r="247">
          <cell r="C247" t="str">
            <v>Bifenthrin 10% EC</v>
          </cell>
          <cell r="D247" t="str">
            <v>Bannerr</v>
          </cell>
        </row>
        <row r="248">
          <cell r="C248" t="str">
            <v>Bifenthrin 10% EC</v>
          </cell>
          <cell r="D248" t="str">
            <v>Bannerr</v>
          </cell>
        </row>
        <row r="249">
          <cell r="C249" t="str">
            <v>Bifenthrin 10% EC</v>
          </cell>
          <cell r="D249" t="str">
            <v>Bannerr</v>
          </cell>
        </row>
        <row r="250">
          <cell r="C250" t="str">
            <v>Bifenthrin 10% EC</v>
          </cell>
          <cell r="D250" t="str">
            <v>Bannerr</v>
          </cell>
        </row>
        <row r="251">
          <cell r="C251" t="str">
            <v>Bifenthrin 10% EC</v>
          </cell>
          <cell r="D251" t="str">
            <v>Bannerr</v>
          </cell>
        </row>
        <row r="252">
          <cell r="C252" t="str">
            <v>Oxyfluorfen 23.5% EC</v>
          </cell>
          <cell r="D252" t="str">
            <v>Tagglobe</v>
          </cell>
        </row>
        <row r="253">
          <cell r="C253" t="str">
            <v>Oxyfluorfen 23.5% EC</v>
          </cell>
          <cell r="D253" t="str">
            <v>Tagglobe</v>
          </cell>
        </row>
        <row r="254">
          <cell r="C254" t="str">
            <v>Oxyfluorfen 23.5% EC</v>
          </cell>
          <cell r="D254" t="str">
            <v>Tagglobe</v>
          </cell>
        </row>
        <row r="255">
          <cell r="C255" t="str">
            <v>Oxyfluorfen 23.5% EC</v>
          </cell>
          <cell r="D255" t="str">
            <v>Tagglobe</v>
          </cell>
        </row>
        <row r="256">
          <cell r="C256" t="str">
            <v>Oxyfluorfen 23.5% EC</v>
          </cell>
          <cell r="D256" t="str">
            <v>Tagglobe</v>
          </cell>
        </row>
        <row r="257">
          <cell r="C257" t="str">
            <v>Emamectin Benzoate 5% SG</v>
          </cell>
          <cell r="D257" t="str">
            <v>Tag Emboz</v>
          </cell>
        </row>
        <row r="258">
          <cell r="C258" t="str">
            <v>Emamectin Benzoate 5% SG</v>
          </cell>
          <cell r="D258" t="str">
            <v>Tag Emboz</v>
          </cell>
        </row>
        <row r="259">
          <cell r="C259" t="str">
            <v>Emamectin Benzoate 5% SG</v>
          </cell>
          <cell r="D259" t="str">
            <v>Tag Emboz</v>
          </cell>
        </row>
        <row r="260">
          <cell r="C260" t="str">
            <v>Emamectin Benzoate 5% SG</v>
          </cell>
          <cell r="D260" t="str">
            <v>Tag Emboz</v>
          </cell>
        </row>
        <row r="261">
          <cell r="C261" t="str">
            <v>Emamectin Benzoate 5% SG</v>
          </cell>
          <cell r="D261" t="str">
            <v>Tag Emboz</v>
          </cell>
        </row>
        <row r="262">
          <cell r="C262" t="str">
            <v>Emamectin Benzoate 5% SG</v>
          </cell>
          <cell r="D262" t="str">
            <v>Tag Emboz</v>
          </cell>
        </row>
        <row r="263">
          <cell r="C263" t="str">
            <v>Emamectin Benzoate 1.9% EC</v>
          </cell>
          <cell r="D263" t="str">
            <v>Tag Turbo</v>
          </cell>
        </row>
        <row r="264">
          <cell r="C264" t="str">
            <v>Emamectin Benzoate 1.9% EC</v>
          </cell>
          <cell r="D264" t="str">
            <v>Tag Turbo</v>
          </cell>
        </row>
        <row r="265">
          <cell r="C265" t="str">
            <v>Emamectin Benzoate 1.9% EC</v>
          </cell>
          <cell r="D265" t="str">
            <v>Tag Turbo</v>
          </cell>
        </row>
        <row r="266">
          <cell r="C266" t="str">
            <v>Emamectin Benzoate 1.9% EC</v>
          </cell>
          <cell r="D266" t="str">
            <v>Tag Turbo</v>
          </cell>
        </row>
        <row r="267">
          <cell r="C267" t="str">
            <v>Emamectin Benzoate 1.9% EC</v>
          </cell>
          <cell r="D267" t="str">
            <v>Tag Turbo</v>
          </cell>
        </row>
        <row r="268">
          <cell r="C268" t="str">
            <v>Organic Farm Waste</v>
          </cell>
          <cell r="D268" t="str">
            <v>Propel</v>
          </cell>
        </row>
        <row r="269">
          <cell r="C269" t="str">
            <v>Organic Farm Waste</v>
          </cell>
          <cell r="D269" t="str">
            <v>Propel</v>
          </cell>
        </row>
        <row r="270">
          <cell r="C270" t="str">
            <v>Propargite 57% EC</v>
          </cell>
          <cell r="D270" t="str">
            <v>Tag Nomite</v>
          </cell>
        </row>
        <row r="271">
          <cell r="C271" t="str">
            <v>Propargite 57% EC</v>
          </cell>
          <cell r="D271" t="str">
            <v>Tag Nomite</v>
          </cell>
        </row>
        <row r="272">
          <cell r="C272" t="str">
            <v>Propargite 57% EC</v>
          </cell>
          <cell r="D272" t="str">
            <v>Tag Nomite</v>
          </cell>
        </row>
        <row r="273">
          <cell r="C273" t="str">
            <v>Propargite 57% EC</v>
          </cell>
          <cell r="D273" t="str">
            <v>Tag Nomite</v>
          </cell>
        </row>
        <row r="274">
          <cell r="C274" t="str">
            <v>Propargite 57% EC</v>
          </cell>
          <cell r="D274" t="str">
            <v>Tag Nomite</v>
          </cell>
        </row>
        <row r="275">
          <cell r="C275" t="str">
            <v>Fipronil 2.5% + Propargite 35% SE</v>
          </cell>
          <cell r="D275" t="str">
            <v>Tag Nomite Gold</v>
          </cell>
        </row>
        <row r="276">
          <cell r="C276" t="str">
            <v>Fipronil 2.5% + Propargite 35% SE</v>
          </cell>
          <cell r="D276" t="str">
            <v>Tag Nomite Gold</v>
          </cell>
        </row>
        <row r="277">
          <cell r="C277" t="str">
            <v>Magnesium + Zinc</v>
          </cell>
          <cell r="D277" t="str">
            <v>Tag Bud-Set</v>
          </cell>
        </row>
        <row r="278">
          <cell r="C278" t="str">
            <v>Myclobutanil 10% WP</v>
          </cell>
          <cell r="D278" t="str">
            <v>Matrix</v>
          </cell>
        </row>
        <row r="279">
          <cell r="C279" t="str">
            <v>Myclobutanil 10% WP</v>
          </cell>
          <cell r="D279" t="str">
            <v>Matrix</v>
          </cell>
        </row>
        <row r="280">
          <cell r="C280" t="str">
            <v>Myclobutanil 10% WP</v>
          </cell>
          <cell r="D280" t="str">
            <v>Matrix</v>
          </cell>
        </row>
        <row r="281">
          <cell r="C281" t="str">
            <v>Fenoxaprop-P-Ethyl 9.3% EC</v>
          </cell>
          <cell r="D281" t="str">
            <v>Nova Super</v>
          </cell>
        </row>
        <row r="282">
          <cell r="C282" t="str">
            <v>Fenoxaprop-P-Ethyl 9.3% EC</v>
          </cell>
          <cell r="D282" t="str">
            <v>Nova Super</v>
          </cell>
        </row>
        <row r="283">
          <cell r="C283" t="str">
            <v>Fenoxaprop-P-Ethyl 9.3% EC</v>
          </cell>
          <cell r="D283" t="str">
            <v>Nova Super</v>
          </cell>
        </row>
        <row r="284">
          <cell r="C284" t="str">
            <v>Fenoxaprop-P-Ethyl 9.3% EC</v>
          </cell>
          <cell r="D284" t="str">
            <v>Nova Super</v>
          </cell>
        </row>
        <row r="285">
          <cell r="C285" t="str">
            <v>Diafenthiuron 50% WP</v>
          </cell>
          <cell r="D285" t="str">
            <v>Tag Jio-Veg</v>
          </cell>
        </row>
        <row r="286">
          <cell r="C286" t="str">
            <v>Diafenthiuron 50% WP</v>
          </cell>
          <cell r="D286" t="str">
            <v>Tag Jio-Veg</v>
          </cell>
        </row>
        <row r="287">
          <cell r="C287" t="str">
            <v>Diafenthiuron 50% WP</v>
          </cell>
          <cell r="D287" t="str">
            <v>Tag Jio-Veg</v>
          </cell>
        </row>
        <row r="288">
          <cell r="C288" t="str">
            <v>Diafenthiuron 50% WP</v>
          </cell>
          <cell r="D288" t="str">
            <v>Tag Jio-Veg</v>
          </cell>
        </row>
        <row r="289">
          <cell r="C289" t="str">
            <v xml:space="preserve">Tebuconazole 25.9% EC </v>
          </cell>
          <cell r="D289" t="str">
            <v>Temper</v>
          </cell>
        </row>
        <row r="290">
          <cell r="C290" t="str">
            <v xml:space="preserve">Tebuconazole 25.9% EC </v>
          </cell>
          <cell r="D290" t="str">
            <v>Temper</v>
          </cell>
        </row>
        <row r="291">
          <cell r="C291" t="str">
            <v xml:space="preserve">Tebuconazole 25.9% EC </v>
          </cell>
          <cell r="D291" t="str">
            <v>Temper</v>
          </cell>
        </row>
        <row r="292">
          <cell r="C292" t="str">
            <v xml:space="preserve">Tebuconazole 25.9% EC </v>
          </cell>
          <cell r="D292" t="str">
            <v>Temper</v>
          </cell>
        </row>
        <row r="293">
          <cell r="C293" t="str">
            <v xml:space="preserve">Tebuconazole 38.39% EC </v>
          </cell>
          <cell r="D293" t="str">
            <v>Tag Temper Gold</v>
          </cell>
        </row>
        <row r="294">
          <cell r="C294" t="str">
            <v xml:space="preserve">Tebuconazole 38.39% EC </v>
          </cell>
          <cell r="D294" t="str">
            <v>Tag Temper Gold</v>
          </cell>
        </row>
        <row r="295">
          <cell r="C295" t="str">
            <v xml:space="preserve">Tebuconazole 38.39% EC </v>
          </cell>
          <cell r="D295" t="str">
            <v>Tag Temper Gold</v>
          </cell>
        </row>
        <row r="296">
          <cell r="C296" t="str">
            <v xml:space="preserve">Tebuconazole 38.39% EC </v>
          </cell>
          <cell r="D296" t="str">
            <v>Tag Temper Gold</v>
          </cell>
        </row>
        <row r="297">
          <cell r="C297" t="str">
            <v>Abamectin 1.9% EC</v>
          </cell>
          <cell r="D297" t="str">
            <v>Tagmec</v>
          </cell>
        </row>
        <row r="298">
          <cell r="C298" t="str">
            <v>Abamectin 1.9% EC</v>
          </cell>
          <cell r="D298" t="str">
            <v>Tagmec</v>
          </cell>
        </row>
        <row r="299">
          <cell r="C299" t="str">
            <v>Abamectin 1.9% EC</v>
          </cell>
          <cell r="D299" t="str">
            <v>Tagmec</v>
          </cell>
        </row>
        <row r="300">
          <cell r="C300" t="str">
            <v>Butachlor 50% EW</v>
          </cell>
          <cell r="D300" t="str">
            <v>Thunder</v>
          </cell>
        </row>
        <row r="301">
          <cell r="C301" t="str">
            <v>Butachlor 50% EW</v>
          </cell>
          <cell r="D301" t="str">
            <v>Thunder</v>
          </cell>
        </row>
        <row r="302">
          <cell r="C302" t="str">
            <v>Butachlor 50% EW</v>
          </cell>
          <cell r="D302" t="str">
            <v>Thunder</v>
          </cell>
        </row>
        <row r="303">
          <cell r="C303" t="str">
            <v>Butachlor 50% EW</v>
          </cell>
          <cell r="D303" t="str">
            <v>Thunder</v>
          </cell>
        </row>
        <row r="304">
          <cell r="C304" t="str">
            <v>2,4 D Amine Salt 58% SL</v>
          </cell>
          <cell r="D304" t="str">
            <v>Tagmin</v>
          </cell>
        </row>
        <row r="305">
          <cell r="C305" t="str">
            <v>2,4 D Amine Salt 58% SL</v>
          </cell>
          <cell r="D305" t="str">
            <v>Tagmin</v>
          </cell>
        </row>
        <row r="306">
          <cell r="C306" t="str">
            <v>Pyraclostroblin 20% WG</v>
          </cell>
          <cell r="D306" t="str">
            <v>Tag Line</v>
          </cell>
        </row>
        <row r="307">
          <cell r="C307" t="str">
            <v>Pyraclostroblin 20% WG</v>
          </cell>
          <cell r="D307" t="str">
            <v>Tag Line</v>
          </cell>
        </row>
        <row r="308">
          <cell r="C308" t="str">
            <v>Diuron 80% WP</v>
          </cell>
          <cell r="D308" t="str">
            <v>Dinomyte</v>
          </cell>
        </row>
        <row r="309">
          <cell r="C309" t="str">
            <v>Diuron 80% WP</v>
          </cell>
          <cell r="D309" t="str">
            <v>Dinomyte</v>
          </cell>
        </row>
        <row r="310">
          <cell r="C310" t="str">
            <v>Mancozeb 75% WP</v>
          </cell>
          <cell r="D310" t="str">
            <v>Zinthane</v>
          </cell>
        </row>
        <row r="311">
          <cell r="C311" t="str">
            <v>Mancozeb 75% WP</v>
          </cell>
          <cell r="D311" t="str">
            <v>Zinthane</v>
          </cell>
        </row>
        <row r="312">
          <cell r="C312" t="str">
            <v>Mancozeb 75% WP</v>
          </cell>
          <cell r="D312" t="str">
            <v>Zinthane</v>
          </cell>
        </row>
        <row r="313">
          <cell r="C313" t="str">
            <v>Mancozeb 75% WP</v>
          </cell>
          <cell r="D313" t="str">
            <v>Zinthane</v>
          </cell>
        </row>
        <row r="314">
          <cell r="C314" t="str">
            <v>2,4 D Sodium Salt 80% WP</v>
          </cell>
          <cell r="D314" t="str">
            <v>Kilharb</v>
          </cell>
        </row>
        <row r="315">
          <cell r="C315" t="str">
            <v>Ethion 50% EC</v>
          </cell>
          <cell r="D315" t="str">
            <v>Novathion</v>
          </cell>
        </row>
        <row r="316">
          <cell r="C316" t="str">
            <v>Ethion 50% EC</v>
          </cell>
          <cell r="D316" t="str">
            <v>Novathion</v>
          </cell>
        </row>
        <row r="317">
          <cell r="C317" t="str">
            <v>Ethion 50% EC</v>
          </cell>
          <cell r="D317" t="str">
            <v>Novathion</v>
          </cell>
        </row>
        <row r="318">
          <cell r="C318" t="str">
            <v>Ethion 50% EC</v>
          </cell>
          <cell r="D318" t="str">
            <v>Novathion</v>
          </cell>
        </row>
        <row r="319">
          <cell r="C319" t="str">
            <v>Ethion 50% EC</v>
          </cell>
          <cell r="D319" t="str">
            <v>Novathion</v>
          </cell>
        </row>
        <row r="320">
          <cell r="C320" t="str">
            <v>Dimethoate 30% EC</v>
          </cell>
          <cell r="D320" t="str">
            <v>Tagor</v>
          </cell>
        </row>
        <row r="321">
          <cell r="C321" t="str">
            <v>Dimethoate 30% EC</v>
          </cell>
          <cell r="D321" t="str">
            <v>Tagor</v>
          </cell>
        </row>
        <row r="322">
          <cell r="C322" t="str">
            <v>Dimethoate 30% EC</v>
          </cell>
          <cell r="D322" t="str">
            <v>Tagor</v>
          </cell>
        </row>
        <row r="323">
          <cell r="C323" t="str">
            <v>Dimethoate 30% EC</v>
          </cell>
          <cell r="D323" t="str">
            <v>Tagor</v>
          </cell>
        </row>
        <row r="324">
          <cell r="C324" t="str">
            <v>Dimethoate 30% EC</v>
          </cell>
          <cell r="D324" t="str">
            <v>Tagor</v>
          </cell>
        </row>
        <row r="325">
          <cell r="C325" t="str">
            <v>Azoxystrobin 11% EW + Tebuconazole 18.3% SC</v>
          </cell>
          <cell r="D325" t="str">
            <v>Dion</v>
          </cell>
        </row>
        <row r="326">
          <cell r="C326" t="str">
            <v>Azoxystrobin 11% EW + Tebuconazole 18.3% SC</v>
          </cell>
          <cell r="D326" t="str">
            <v>Dion</v>
          </cell>
        </row>
        <row r="327">
          <cell r="C327" t="str">
            <v>Azoxystrobin 11% EW + Tebuconazole 18.3% SC</v>
          </cell>
          <cell r="D327" t="str">
            <v>Dion</v>
          </cell>
        </row>
        <row r="328">
          <cell r="C328" t="str">
            <v>Azoxystrobin 11% EW + Tebuconazole 18.3% SC</v>
          </cell>
          <cell r="D328" t="str">
            <v>Dion</v>
          </cell>
        </row>
        <row r="329">
          <cell r="C329" t="str">
            <v>Azoxystrobin 18.2% + Difenconazole 11.4% SC</v>
          </cell>
          <cell r="D329" t="str">
            <v>Tag Minister</v>
          </cell>
        </row>
        <row r="330">
          <cell r="C330" t="str">
            <v>Azoxystrobin 18.2% + Difenconazole 11.4% SC</v>
          </cell>
          <cell r="D330" t="str">
            <v>Tag Minister</v>
          </cell>
        </row>
        <row r="331">
          <cell r="C331" t="str">
            <v>Azoxystrobin 18.2% + Difenconazole 11.4% SC</v>
          </cell>
          <cell r="D331" t="str">
            <v>Tag Minister</v>
          </cell>
        </row>
        <row r="332">
          <cell r="C332" t="str">
            <v>Azoxystrobin 18.2% + Difenconazole 11.4% SC</v>
          </cell>
          <cell r="D332" t="str">
            <v>Tag Minister</v>
          </cell>
        </row>
        <row r="333">
          <cell r="C333" t="str">
            <v>Azoxystrobin 18.2% + Difenconazole 11.4% SC</v>
          </cell>
          <cell r="D333" t="str">
            <v>Tag Minister</v>
          </cell>
        </row>
        <row r="334">
          <cell r="C334" t="str">
            <v>Bispyribac Sodium 10% SC</v>
          </cell>
          <cell r="D334" t="str">
            <v>Tagwin</v>
          </cell>
        </row>
        <row r="335">
          <cell r="C335" t="str">
            <v>Bispyribac Sodium 10% SC</v>
          </cell>
          <cell r="D335" t="str">
            <v>Tagwin</v>
          </cell>
        </row>
        <row r="336">
          <cell r="C336" t="str">
            <v>Bispyribac Sodium 10% SC</v>
          </cell>
          <cell r="D336" t="str">
            <v>Tagwin</v>
          </cell>
        </row>
        <row r="337">
          <cell r="C337" t="str">
            <v>Bispyribac Sodium 10% SC</v>
          </cell>
          <cell r="D337" t="str">
            <v>Tagwin</v>
          </cell>
        </row>
        <row r="338">
          <cell r="C338" t="str">
            <v>Bispyribac Sodium 10% SC</v>
          </cell>
          <cell r="D338" t="str">
            <v>Tagwin</v>
          </cell>
        </row>
        <row r="339">
          <cell r="C339" t="str">
            <v>Bispyribac Sodium 10% SC</v>
          </cell>
          <cell r="D339" t="str">
            <v>Tagwin</v>
          </cell>
        </row>
        <row r="340">
          <cell r="C340" t="str">
            <v>Quizalofop Ethyl 5% EC</v>
          </cell>
          <cell r="D340" t="str">
            <v>Tagquick</v>
          </cell>
        </row>
        <row r="341">
          <cell r="C341" t="str">
            <v>Quizalofop Ethyl 5% EC</v>
          </cell>
          <cell r="D341" t="str">
            <v>Tagquick</v>
          </cell>
        </row>
        <row r="342">
          <cell r="C342" t="str">
            <v>Quizalofop Ethyl 5% EC</v>
          </cell>
          <cell r="D342" t="str">
            <v>Tagquick</v>
          </cell>
        </row>
        <row r="343">
          <cell r="C343" t="str">
            <v>Quizalofop Ethyl 5% EC</v>
          </cell>
          <cell r="D343" t="str">
            <v>Tagquick</v>
          </cell>
        </row>
        <row r="344">
          <cell r="C344" t="str">
            <v>Pyrazosulfuron Ethyl 10% WP</v>
          </cell>
          <cell r="D344" t="str">
            <v>Tag Vanish</v>
          </cell>
        </row>
        <row r="345">
          <cell r="C345" t="str">
            <v>Pyrazosulfuron Ethyl 10% WP</v>
          </cell>
          <cell r="D345" t="str">
            <v>Tag Vanish</v>
          </cell>
        </row>
        <row r="346">
          <cell r="C346" t="str">
            <v>100% Polyether Modified Trisiloxane</v>
          </cell>
          <cell r="D346" t="str">
            <v>Kloud Super</v>
          </cell>
        </row>
        <row r="347">
          <cell r="C347" t="str">
            <v>100% Polyether Modified Trisiloxane</v>
          </cell>
          <cell r="D347" t="str">
            <v>Kloud Super</v>
          </cell>
        </row>
        <row r="348">
          <cell r="C348" t="str">
            <v>Bio Stimulent</v>
          </cell>
          <cell r="D348" t="str">
            <v>Miny Max</v>
          </cell>
        </row>
        <row r="349">
          <cell r="C349" t="str">
            <v>Bio Stimulent</v>
          </cell>
          <cell r="D349" t="str">
            <v>Miny Max</v>
          </cell>
        </row>
        <row r="350">
          <cell r="C350" t="str">
            <v>Bio Stimulent</v>
          </cell>
          <cell r="D350" t="str">
            <v>Miny Max</v>
          </cell>
        </row>
        <row r="351">
          <cell r="C351" t="str">
            <v>Fipronil 40% + Imidacloprid 40% WG</v>
          </cell>
          <cell r="D351" t="str">
            <v>Tag Poll</v>
          </cell>
        </row>
        <row r="352">
          <cell r="C352" t="str">
            <v>Fipronil 40% + Imidacloprid 40% WG</v>
          </cell>
          <cell r="D352" t="str">
            <v>Tag Poll</v>
          </cell>
        </row>
        <row r="353">
          <cell r="C353" t="str">
            <v>Fipronil 40% + Imidacloprid 40% WG</v>
          </cell>
          <cell r="D353" t="str">
            <v>Tag Poll</v>
          </cell>
        </row>
        <row r="354">
          <cell r="C354" t="str">
            <v>Metsulfuron Methyl 10% + Chlorimuron Ethyl 10% WP</v>
          </cell>
          <cell r="D354" t="str">
            <v>Tag Mix</v>
          </cell>
        </row>
        <row r="355">
          <cell r="C355" t="str">
            <v>Isoprothiolane 40% EC</v>
          </cell>
          <cell r="D355" t="str">
            <v>Tag Lane</v>
          </cell>
        </row>
        <row r="356">
          <cell r="C356" t="str">
            <v>Isoprothiolane 40% EC</v>
          </cell>
          <cell r="D356" t="str">
            <v>Tag Lane</v>
          </cell>
        </row>
        <row r="357">
          <cell r="C357" t="str">
            <v>Isoprothiolane 40% EC</v>
          </cell>
          <cell r="D357" t="str">
            <v>Tag Lane</v>
          </cell>
        </row>
        <row r="358">
          <cell r="C358" t="str">
            <v>Isoprothiolane 40% EC</v>
          </cell>
          <cell r="D358" t="str">
            <v>Tag Lane</v>
          </cell>
        </row>
        <row r="359">
          <cell r="C359" t="str">
            <v>Pendimethalin 38.7% CS</v>
          </cell>
          <cell r="D359" t="str">
            <v>Pendi Gold</v>
          </cell>
        </row>
        <row r="360">
          <cell r="C360" t="str">
            <v>Pendimethalin 38.7% CS</v>
          </cell>
          <cell r="D360" t="str">
            <v>Pendi Gold</v>
          </cell>
        </row>
        <row r="361">
          <cell r="C361" t="str">
            <v>Pendimethalin 38.7% CS</v>
          </cell>
          <cell r="D361" t="str">
            <v>Pendi Gold</v>
          </cell>
        </row>
        <row r="362">
          <cell r="C362" t="str">
            <v>Hexaconazole 4% + Zineb 68% WP</v>
          </cell>
          <cell r="D362" t="str">
            <v>Tag Fighter</v>
          </cell>
        </row>
        <row r="363">
          <cell r="C363" t="str">
            <v>Hexaconazole 4% + Zineb 68% WP</v>
          </cell>
          <cell r="D363" t="str">
            <v>Tag Fighter</v>
          </cell>
        </row>
        <row r="364">
          <cell r="C364" t="str">
            <v>Hexaconazole 4% + Zineb 68% WP</v>
          </cell>
          <cell r="D364" t="str">
            <v>Tag Fighter</v>
          </cell>
        </row>
        <row r="365">
          <cell r="C365" t="str">
            <v>Pymetrozine 50% WG</v>
          </cell>
          <cell r="D365" t="str">
            <v>Tag Champ</v>
          </cell>
        </row>
        <row r="366">
          <cell r="C366" t="str">
            <v>Pymetrozine 50% WG</v>
          </cell>
          <cell r="D366" t="str">
            <v>Tag Champ</v>
          </cell>
        </row>
        <row r="367">
          <cell r="C367" t="str">
            <v>Pymetrozine 50% WG</v>
          </cell>
          <cell r="D367" t="str">
            <v>Tag Champ</v>
          </cell>
        </row>
        <row r="368">
          <cell r="C368" t="str">
            <v>Pymetrozine 50% WG</v>
          </cell>
          <cell r="D368" t="str">
            <v>Tag Champ</v>
          </cell>
        </row>
        <row r="369">
          <cell r="C369" t="str">
            <v>Fomesafen 11.1%+ Fluazifop P Buty 11.1% SL</v>
          </cell>
          <cell r="D369" t="str">
            <v>Tag Flex</v>
          </cell>
        </row>
        <row r="370">
          <cell r="C370" t="str">
            <v>Fomesafen 11.1%+ Fluazifop P Buty 11.1% SL</v>
          </cell>
          <cell r="D370" t="str">
            <v>Tag Flex</v>
          </cell>
        </row>
        <row r="371">
          <cell r="C371" t="str">
            <v>Fomesafen 11.1%+ Fluazifop P Buty 11.1% SL</v>
          </cell>
          <cell r="D371" t="str">
            <v>Tag Flex</v>
          </cell>
        </row>
        <row r="372">
          <cell r="C372" t="str">
            <v>Sulpher 65% + Tebuconazole 10% WG</v>
          </cell>
          <cell r="D372" t="str">
            <v>Tag Azad</v>
          </cell>
        </row>
        <row r="373">
          <cell r="C373" t="str">
            <v>Sulpher 65% + Tebuconazole 10% WG</v>
          </cell>
          <cell r="D373" t="str">
            <v>Tag Azad</v>
          </cell>
        </row>
        <row r="374">
          <cell r="C374" t="str">
            <v>Sulpher 65% + Tebuconazole 10% WG</v>
          </cell>
          <cell r="D374" t="str">
            <v>Tag Azad</v>
          </cell>
        </row>
        <row r="375">
          <cell r="C375" t="str">
            <v>Sulpher 65% + Tebuconazole 10% WG</v>
          </cell>
          <cell r="D375" t="str">
            <v>Tag Azad</v>
          </cell>
        </row>
        <row r="376">
          <cell r="C376" t="str">
            <v>Paclobutrazol 23% SC</v>
          </cell>
          <cell r="D376" t="str">
            <v>Tag Tar</v>
          </cell>
        </row>
        <row r="377">
          <cell r="C377" t="str">
            <v>Paclobutrazol 23% SC</v>
          </cell>
          <cell r="D377" t="str">
            <v>Tag Tar</v>
          </cell>
        </row>
        <row r="378">
          <cell r="C378" t="str">
            <v>Paclobutrazol 23% SC</v>
          </cell>
          <cell r="D378" t="str">
            <v>Tag Tar</v>
          </cell>
        </row>
        <row r="379">
          <cell r="C379" t="str">
            <v>Paclobutrazol 23% SC</v>
          </cell>
          <cell r="D379" t="str">
            <v>Tag Tar</v>
          </cell>
        </row>
        <row r="380">
          <cell r="C380" t="str">
            <v>Paclobutrazol 23% SC</v>
          </cell>
          <cell r="D380" t="str">
            <v>Tag Tar</v>
          </cell>
        </row>
        <row r="381">
          <cell r="C381" t="str">
            <v>Acephate 35% + Buprofezin 15% WP</v>
          </cell>
          <cell r="D381" t="str">
            <v>Tag Buphate</v>
          </cell>
        </row>
        <row r="382">
          <cell r="C382" t="str">
            <v>Acephate 35% + Buprofezin 15% WP</v>
          </cell>
          <cell r="D382" t="str">
            <v>Tag Buphate</v>
          </cell>
        </row>
        <row r="383">
          <cell r="C383" t="str">
            <v>Acephate 35% + Buprofezin 15% WP</v>
          </cell>
          <cell r="D383" t="str">
            <v>Tag Buphate</v>
          </cell>
        </row>
        <row r="384">
          <cell r="C384" t="str">
            <v>Acephate 35% + Buprofezin 15% WP</v>
          </cell>
          <cell r="D384" t="str">
            <v>Tag Buphate</v>
          </cell>
        </row>
        <row r="385">
          <cell r="C385" t="str">
            <v>Pretilachlor 6%+Bensulfuron 0.6% GR</v>
          </cell>
          <cell r="D385" t="str">
            <v>Bond-X-Powder</v>
          </cell>
        </row>
        <row r="386">
          <cell r="C386" t="str">
            <v>Pretilachlor 6%+Bensulfuron 0.6% GR</v>
          </cell>
          <cell r="D386" t="str">
            <v>Bond-X-Powder</v>
          </cell>
        </row>
        <row r="387">
          <cell r="C387" t="str">
            <v>Novaluran 5.25% + Emamectin Benzoate 0.9% SC</v>
          </cell>
          <cell r="D387" t="str">
            <v>Tag Novatin</v>
          </cell>
        </row>
        <row r="388">
          <cell r="C388" t="str">
            <v>Novaluran 5.25% + Emamectin Benzoate 0.9% SC</v>
          </cell>
          <cell r="D388" t="str">
            <v>Tag Novatin</v>
          </cell>
        </row>
        <row r="389">
          <cell r="C389" t="str">
            <v>Novaluran 5.25% + Emamectin Benzoate 0.9% SC</v>
          </cell>
          <cell r="D389" t="str">
            <v>Tag Novatin</v>
          </cell>
        </row>
        <row r="390">
          <cell r="C390" t="str">
            <v>Novaluran 5.25% + Emamectin Benzoate 0.9% SC</v>
          </cell>
          <cell r="D390" t="str">
            <v>Tag Novatin</v>
          </cell>
        </row>
        <row r="391">
          <cell r="C391" t="str">
            <v>Novaluron 5.25% + Indoxacarb 4.5% SC</v>
          </cell>
          <cell r="D391" t="str">
            <v>Tag Novadox Sc</v>
          </cell>
        </row>
        <row r="392">
          <cell r="C392" t="str">
            <v>Novaluron 5.25% + Indoxacarb 4.5% SC</v>
          </cell>
          <cell r="D392" t="str">
            <v>Tag Novadox Sc</v>
          </cell>
        </row>
        <row r="393">
          <cell r="C393" t="str">
            <v>Novaluron 5.25% + Indoxacarb 4.5% SC</v>
          </cell>
          <cell r="D393" t="str">
            <v>Tag Novadox Sc</v>
          </cell>
        </row>
        <row r="394">
          <cell r="C394" t="str">
            <v>Novaluron 5.25% + Indoxacarb 4.5% SC</v>
          </cell>
          <cell r="D394" t="str">
            <v>Tag Novadox Sc</v>
          </cell>
        </row>
        <row r="395">
          <cell r="C395" t="str">
            <v xml:space="preserve">Indoxacarb 14.5% SC </v>
          </cell>
          <cell r="D395" t="str">
            <v>Tagpower</v>
          </cell>
        </row>
        <row r="396">
          <cell r="C396" t="str">
            <v xml:space="preserve">Indoxacarb 14.5% SC </v>
          </cell>
          <cell r="D396" t="str">
            <v>Tagpower</v>
          </cell>
        </row>
        <row r="397">
          <cell r="C397" t="str">
            <v xml:space="preserve">Indoxacarb 14.5% SC </v>
          </cell>
          <cell r="D397" t="str">
            <v>Tagpower</v>
          </cell>
        </row>
        <row r="398">
          <cell r="C398" t="str">
            <v xml:space="preserve">Indoxacarb 14.5% SC </v>
          </cell>
          <cell r="D398" t="str">
            <v>Tagpower</v>
          </cell>
        </row>
        <row r="399">
          <cell r="C399" t="str">
            <v xml:space="preserve">Indoxacarb 14.5% SC </v>
          </cell>
          <cell r="D399" t="str">
            <v>Tagpower</v>
          </cell>
        </row>
        <row r="400">
          <cell r="C400" t="str">
            <v>Tembotrione 34.4% SC</v>
          </cell>
          <cell r="D400" t="str">
            <v>Tag Saf</v>
          </cell>
        </row>
        <row r="401">
          <cell r="C401" t="str">
            <v>Tembotrione 34.4% SC</v>
          </cell>
          <cell r="D401" t="str">
            <v>Tag Saf</v>
          </cell>
        </row>
        <row r="402">
          <cell r="C402" t="str">
            <v>Tembotrione 34.4% SC</v>
          </cell>
          <cell r="D402" t="str">
            <v>Tag Saf</v>
          </cell>
        </row>
        <row r="403">
          <cell r="C403" t="str">
            <v>Pyriproxifen 10% + Bifenthrin 10% EC</v>
          </cell>
          <cell r="D403" t="str">
            <v>Tag Hatiyar</v>
          </cell>
        </row>
        <row r="404">
          <cell r="C404" t="str">
            <v>Pyriproxifen 10% + Bifenthrin 10% EC</v>
          </cell>
          <cell r="D404" t="str">
            <v>Tag Hatiyar</v>
          </cell>
        </row>
        <row r="405">
          <cell r="C405" t="str">
            <v>Pyriproxifen 10% + Bifenthrin 10% EC</v>
          </cell>
          <cell r="D405" t="str">
            <v>Tag Hatiyar</v>
          </cell>
        </row>
        <row r="406">
          <cell r="C406" t="str">
            <v>Pyriproxifen 10% + Bifenthrin 10% EC</v>
          </cell>
          <cell r="D406" t="str">
            <v>Tag Hatiyar</v>
          </cell>
        </row>
        <row r="407">
          <cell r="C407" t="str">
            <v>Fenoxaprop-P-Ethyl 6-7% EC</v>
          </cell>
          <cell r="D407" t="str">
            <v>Tag Paddystar</v>
          </cell>
        </row>
        <row r="408">
          <cell r="C408" t="str">
            <v>Fenoxaprop-P-Ethyl 6-7% EC</v>
          </cell>
          <cell r="D408" t="str">
            <v>Tag Paddystar</v>
          </cell>
        </row>
        <row r="409">
          <cell r="C409" t="str">
            <v>Fenoxaprop-P-Ethyl 6-7% EC</v>
          </cell>
          <cell r="D409" t="str">
            <v>Tag Paddystar</v>
          </cell>
        </row>
        <row r="410">
          <cell r="C410" t="str">
            <v>Fenoxaprop-P-Ethyl 6-7% EC</v>
          </cell>
          <cell r="D410" t="str">
            <v>Tag Paddystar</v>
          </cell>
        </row>
        <row r="411">
          <cell r="C411" t="str">
            <v>Copper Oxychloride 50% WP</v>
          </cell>
          <cell r="D411" t="str">
            <v>Tagcop</v>
          </cell>
        </row>
        <row r="412">
          <cell r="C412" t="str">
            <v>Copper Oxychloride 50% WP</v>
          </cell>
          <cell r="D412" t="str">
            <v>Tagcop</v>
          </cell>
        </row>
        <row r="413">
          <cell r="C413" t="str">
            <v>Cyhalofop Butyl 10 % EC</v>
          </cell>
          <cell r="D413" t="str">
            <v>Tag Venture</v>
          </cell>
        </row>
        <row r="414">
          <cell r="C414" t="str">
            <v>Cyhalofop Butyl 10 % EC</v>
          </cell>
          <cell r="D414" t="str">
            <v>Tag Venture</v>
          </cell>
        </row>
        <row r="415">
          <cell r="C415" t="str">
            <v>Cyhalofop Butyl 10 % EC</v>
          </cell>
          <cell r="D415" t="str">
            <v>Tag Venture</v>
          </cell>
        </row>
        <row r="416">
          <cell r="C416" t="str">
            <v>Thifluzamide 24% SC</v>
          </cell>
          <cell r="D416" t="str">
            <v>Tag Pulse</v>
          </cell>
        </row>
        <row r="417">
          <cell r="C417" t="str">
            <v>Thifluzamide 24% SC</v>
          </cell>
          <cell r="D417" t="str">
            <v>Tag Pulse</v>
          </cell>
        </row>
        <row r="418">
          <cell r="C418" t="str">
            <v>Thifluzamide 24% SC</v>
          </cell>
          <cell r="D418" t="str">
            <v>Tag Pulse</v>
          </cell>
        </row>
        <row r="419">
          <cell r="C419" t="str">
            <v>Propineb 70% WP</v>
          </cell>
          <cell r="D419" t="str">
            <v>Tagcol</v>
          </cell>
        </row>
        <row r="420">
          <cell r="C420" t="str">
            <v>Propineb 70% WP</v>
          </cell>
          <cell r="D420" t="str">
            <v>Tagcol</v>
          </cell>
        </row>
        <row r="421">
          <cell r="C421" t="str">
            <v>Propineb 70% WP</v>
          </cell>
          <cell r="D421" t="str">
            <v>Tagcol</v>
          </cell>
        </row>
        <row r="422">
          <cell r="C422" t="str">
            <v>Propineb 70% WP</v>
          </cell>
          <cell r="D422" t="str">
            <v>Tagcol</v>
          </cell>
        </row>
        <row r="423">
          <cell r="C423" t="str">
            <v>Penoxulam 0.97% + Butachlor 38.8% SE</v>
          </cell>
          <cell r="D423" t="str">
            <v>Tag Flinch</v>
          </cell>
        </row>
        <row r="424">
          <cell r="C424" t="str">
            <v>Penoxulam 2.67% OD</v>
          </cell>
          <cell r="D424" t="str">
            <v>Tag Sulam</v>
          </cell>
        </row>
        <row r="425">
          <cell r="C425" t="str">
            <v>Penoxulam 2.67% OD</v>
          </cell>
          <cell r="D425" t="str">
            <v>Tag Sulam</v>
          </cell>
        </row>
        <row r="426">
          <cell r="C426" t="str">
            <v>Permethrin 25% EC</v>
          </cell>
          <cell r="D426" t="str">
            <v>Action Super</v>
          </cell>
        </row>
        <row r="427">
          <cell r="C427" t="str">
            <v>Permethrin 25% EC</v>
          </cell>
          <cell r="D427" t="str">
            <v>Action Super</v>
          </cell>
        </row>
        <row r="428">
          <cell r="C428" t="str">
            <v>Permethrin 25% EC</v>
          </cell>
          <cell r="D428" t="str">
            <v>Action Super</v>
          </cell>
        </row>
        <row r="429">
          <cell r="C429" t="str">
            <v>Permethrin 25% EC</v>
          </cell>
          <cell r="D429" t="str">
            <v>Action Super</v>
          </cell>
        </row>
        <row r="430">
          <cell r="C430" t="str">
            <v>Dinotefuran 20% SG</v>
          </cell>
          <cell r="D430" t="str">
            <v>Tag Ocean</v>
          </cell>
        </row>
        <row r="431">
          <cell r="C431" t="str">
            <v>Dinotefuran 20% SG</v>
          </cell>
          <cell r="D431" t="str">
            <v>Tag Ocean</v>
          </cell>
        </row>
        <row r="432">
          <cell r="C432" t="str">
            <v>Dinotefuran 20% SG</v>
          </cell>
          <cell r="D432" t="str">
            <v>Tag Ocean</v>
          </cell>
        </row>
        <row r="433">
          <cell r="C433" t="str">
            <v>Dinotefuran 20% SG</v>
          </cell>
          <cell r="D433" t="str">
            <v>Tag Ocean</v>
          </cell>
        </row>
        <row r="434">
          <cell r="C434" t="str">
            <v>Dinotefuran 20% SG</v>
          </cell>
          <cell r="D434" t="str">
            <v>Tag Ocean</v>
          </cell>
        </row>
        <row r="435">
          <cell r="C435" t="str">
            <v>Dinotefuran 20% SG</v>
          </cell>
          <cell r="D435" t="str">
            <v>Tag Ocean</v>
          </cell>
        </row>
        <row r="436">
          <cell r="C436" t="str">
            <v>Azoxystrobin 16.7% + Tricyclazole 33.33% SC</v>
          </cell>
          <cell r="D436" t="str">
            <v>Tag Trix</v>
          </cell>
        </row>
        <row r="437">
          <cell r="C437" t="str">
            <v>Azoxystrobin 16.7% + Tricyclazole 33.33% SC</v>
          </cell>
          <cell r="D437" t="str">
            <v>Tag Trix</v>
          </cell>
        </row>
        <row r="438">
          <cell r="C438" t="str">
            <v>Azoxystrobin 16.7% + Tricyclazole 33.33% SC</v>
          </cell>
          <cell r="D438" t="str">
            <v>Tag Trix</v>
          </cell>
        </row>
        <row r="439">
          <cell r="C439" t="str">
            <v>Azoxystrobin 16.7% + Tricyclazole 33.33% SC</v>
          </cell>
          <cell r="D439" t="str">
            <v>Tag Trix</v>
          </cell>
        </row>
        <row r="440">
          <cell r="C440" t="str">
            <v>Azoxystrobin 16.7% + Tricyclazole 33.33% SC</v>
          </cell>
          <cell r="D440" t="str">
            <v>Tag Trix</v>
          </cell>
        </row>
        <row r="441">
          <cell r="C441" t="str">
            <v>Hexaconazole 5% + Validamycin 2.5% SC</v>
          </cell>
          <cell r="D441" t="str">
            <v>Tag Alexa</v>
          </cell>
        </row>
        <row r="442">
          <cell r="C442" t="str">
            <v>Hexaconazole 5% + Validamycin 2.5% SC</v>
          </cell>
          <cell r="D442" t="str">
            <v>Tag Alexa</v>
          </cell>
        </row>
        <row r="443">
          <cell r="C443" t="str">
            <v>Hexaconazole 5% + Validamycin 2.5% SC</v>
          </cell>
          <cell r="D443" t="str">
            <v>Tag Alexa</v>
          </cell>
        </row>
        <row r="444">
          <cell r="C444" t="str">
            <v>Hexaconazole 5% + Validamycin 2.5% SC</v>
          </cell>
          <cell r="D444" t="str">
            <v>Tag Alexa</v>
          </cell>
        </row>
        <row r="445">
          <cell r="C445" t="str">
            <v>Mesotrione 2.27% + Atrazine 22.7% SC</v>
          </cell>
          <cell r="D445" t="str">
            <v>Tag Clean Xtra</v>
          </cell>
        </row>
        <row r="446">
          <cell r="C446" t="str">
            <v>Mesotrione 2.27% + Atrazine 22.7% SC</v>
          </cell>
          <cell r="D446" t="str">
            <v>Tag Clean Xtra</v>
          </cell>
        </row>
        <row r="447">
          <cell r="C447" t="str">
            <v>Mesotrione 2.27% + Atrazine 22.7% SC</v>
          </cell>
          <cell r="D447" t="str">
            <v>Tag Clean Xtra</v>
          </cell>
        </row>
        <row r="448">
          <cell r="C448" t="str">
            <v>Fipronil 7% + Hexythiazox 2% SC</v>
          </cell>
          <cell r="D448" t="str">
            <v>Tag Kleen Mite</v>
          </cell>
        </row>
        <row r="449">
          <cell r="C449" t="str">
            <v>Fipronil 7% + Hexythiazox 2% SC</v>
          </cell>
          <cell r="D449" t="str">
            <v>Tag Kleen Mite</v>
          </cell>
        </row>
        <row r="450">
          <cell r="C450" t="str">
            <v>Fipronil 7% + Hexythiazox 2% SC</v>
          </cell>
          <cell r="D450" t="str">
            <v>Tag Kleen Mite</v>
          </cell>
        </row>
        <row r="451">
          <cell r="C451" t="str">
            <v>Chlorothalonil 75% WP</v>
          </cell>
          <cell r="D451" t="str">
            <v>Tag Shield</v>
          </cell>
        </row>
        <row r="452">
          <cell r="C452" t="str">
            <v>Chlorothalonil 75% WP</v>
          </cell>
          <cell r="D452" t="str">
            <v>Tag Shield</v>
          </cell>
        </row>
        <row r="453">
          <cell r="C453" t="str">
            <v>Chlorothalonil 75% WP</v>
          </cell>
          <cell r="D453" t="str">
            <v>Tag Shield</v>
          </cell>
        </row>
        <row r="454">
          <cell r="C454" t="str">
            <v>Chlorothalonil 75% WP</v>
          </cell>
          <cell r="D454" t="str">
            <v>Tag Shield</v>
          </cell>
        </row>
        <row r="455">
          <cell r="C455" t="str">
            <v>Ziram 80% WP</v>
          </cell>
          <cell r="D455" t="str">
            <v>Tagziram</v>
          </cell>
        </row>
        <row r="456">
          <cell r="C456" t="str">
            <v>Ziram 80% WP</v>
          </cell>
          <cell r="D456" t="str">
            <v>Tagziram</v>
          </cell>
        </row>
        <row r="457">
          <cell r="C457" t="str">
            <v>Ziram 80% WP</v>
          </cell>
          <cell r="D457" t="str">
            <v>Tagziram</v>
          </cell>
        </row>
        <row r="458">
          <cell r="C458" t="str">
            <v>Ziram 80% WP</v>
          </cell>
          <cell r="D458" t="str">
            <v>Tagziram</v>
          </cell>
        </row>
        <row r="459">
          <cell r="C459" t="str">
            <v>Phenthoate 50% EC</v>
          </cell>
          <cell r="D459" t="str">
            <v>Tagsan</v>
          </cell>
        </row>
        <row r="460">
          <cell r="C460" t="str">
            <v>Phenthoate 50% EC</v>
          </cell>
          <cell r="D460" t="str">
            <v>Tagsan</v>
          </cell>
        </row>
        <row r="461">
          <cell r="C461" t="str">
            <v>Phenthoate 50% EC</v>
          </cell>
          <cell r="D461" t="str">
            <v>Tagsan</v>
          </cell>
        </row>
        <row r="462">
          <cell r="C462" t="str">
            <v>Phenthoate 50% EC</v>
          </cell>
          <cell r="D462" t="str">
            <v>Tagsan</v>
          </cell>
        </row>
        <row r="463">
          <cell r="C463" t="str">
            <v>Protein Hydrolysate GR</v>
          </cell>
          <cell r="D463" t="str">
            <v>Tag Carb-N</v>
          </cell>
        </row>
        <row r="464">
          <cell r="C464" t="str">
            <v>Protein Hydrolysate GR</v>
          </cell>
          <cell r="D464" t="str">
            <v>Tag Carb-N</v>
          </cell>
        </row>
        <row r="465">
          <cell r="C465" t="str">
            <v>Protein Hydrolysate GR</v>
          </cell>
          <cell r="D465" t="str">
            <v>Tag Carb-N</v>
          </cell>
        </row>
        <row r="466">
          <cell r="C466" t="str">
            <v>Protein Hydrolysate GR</v>
          </cell>
          <cell r="D466" t="str">
            <v>Tag Carb-N</v>
          </cell>
        </row>
        <row r="467">
          <cell r="C467" t="str">
            <v>Protein Hydrolysate GR</v>
          </cell>
          <cell r="D467" t="str">
            <v>Tag Carb-N</v>
          </cell>
        </row>
        <row r="468">
          <cell r="C468" t="str">
            <v>Malathion 50% EC</v>
          </cell>
          <cell r="D468" t="str">
            <v>Tagthion</v>
          </cell>
        </row>
        <row r="469">
          <cell r="C469" t="str">
            <v>Malathion 50% EC</v>
          </cell>
          <cell r="D469" t="str">
            <v>Tagthion</v>
          </cell>
        </row>
        <row r="470">
          <cell r="C470" t="str">
            <v>Malathion 50% EC</v>
          </cell>
          <cell r="D470" t="str">
            <v>Tagthion</v>
          </cell>
        </row>
        <row r="471">
          <cell r="C471" t="str">
            <v>Malathion 50% EC</v>
          </cell>
          <cell r="D471" t="str">
            <v>Tagthion</v>
          </cell>
        </row>
        <row r="472">
          <cell r="C472" t="str">
            <v>Pyriproxifen 8% + Dinotefuran 5% + Diafenthiuron 18% SC</v>
          </cell>
          <cell r="D472" t="str">
            <v>Tag Fli</v>
          </cell>
        </row>
        <row r="473">
          <cell r="C473" t="str">
            <v>Pyriproxifen 8% + Dinotefuran 5% + Diafenthiuron 18% SC</v>
          </cell>
          <cell r="D473" t="str">
            <v>Tag Fli</v>
          </cell>
        </row>
        <row r="474">
          <cell r="C474" t="str">
            <v>Pyriproxifen 8% + Dinotefuran 5% + Diafenthiuron 18% SC</v>
          </cell>
          <cell r="D474" t="str">
            <v>Tag Fli</v>
          </cell>
        </row>
        <row r="475">
          <cell r="C475" t="str">
            <v>Pyriproxifen 8% + Dinotefuran 5% + Diafenthiuron 18% SC</v>
          </cell>
          <cell r="D475" t="str">
            <v>Tag Fli</v>
          </cell>
        </row>
        <row r="476">
          <cell r="C476" t="str">
            <v>Chlorantraniliprole 18.5% SC</v>
          </cell>
          <cell r="D476" t="str">
            <v>Tagzen</v>
          </cell>
        </row>
        <row r="477">
          <cell r="C477" t="str">
            <v>Chlorantraniliprole 18.5% SC</v>
          </cell>
          <cell r="D477" t="str">
            <v>Tagzen</v>
          </cell>
        </row>
        <row r="478">
          <cell r="C478" t="str">
            <v>Chlorantraniliprole 18.5% SC</v>
          </cell>
          <cell r="D478" t="str">
            <v>Tagzen</v>
          </cell>
        </row>
        <row r="479">
          <cell r="C479" t="str">
            <v>Chlorantraniliprole 18.5% SC</v>
          </cell>
          <cell r="D479" t="str">
            <v>Tagzen</v>
          </cell>
        </row>
        <row r="480">
          <cell r="C480" t="str">
            <v>Chlorantraniliprole 18.5% SC</v>
          </cell>
          <cell r="D480" t="str">
            <v>Tagzen</v>
          </cell>
        </row>
        <row r="481">
          <cell r="C481" t="str">
            <v>Chlorantraniliprole 0.4% GR</v>
          </cell>
          <cell r="D481" t="str">
            <v>Tag Zen Gr</v>
          </cell>
        </row>
        <row r="482">
          <cell r="C482" t="str">
            <v>Chlorantraniliprole 0.4% GR</v>
          </cell>
          <cell r="D482" t="str">
            <v>Tag Zen Gr</v>
          </cell>
        </row>
        <row r="483">
          <cell r="C483" t="str">
            <v>Chlorantraniliprole 0.4% GR</v>
          </cell>
          <cell r="D483" t="str">
            <v>Tag Zen Gr</v>
          </cell>
        </row>
        <row r="484">
          <cell r="C484" t="str">
            <v>Dinotefuran 15% + Pymetrozine 45% WG</v>
          </cell>
          <cell r="D484" t="str">
            <v>Tag Warrior</v>
          </cell>
        </row>
        <row r="485">
          <cell r="C485" t="str">
            <v>Dinotefuran 15% + Pymetrozine 45% WG</v>
          </cell>
          <cell r="D485" t="str">
            <v>Tag Warrior</v>
          </cell>
        </row>
        <row r="486">
          <cell r="C486" t="str">
            <v>Dinotefuran 15% + Pymetrozine 45% WG</v>
          </cell>
          <cell r="D486" t="str">
            <v>Tag Warrior</v>
          </cell>
        </row>
        <row r="487">
          <cell r="C487" t="str">
            <v>Tolfenpyrad 15% EC</v>
          </cell>
          <cell r="D487" t="str">
            <v>Tag Fun</v>
          </cell>
        </row>
        <row r="488">
          <cell r="C488" t="str">
            <v>Tolfenpyrad 15% EC</v>
          </cell>
          <cell r="D488" t="str">
            <v>Tag Fun</v>
          </cell>
        </row>
        <row r="489">
          <cell r="C489" t="str">
            <v>Tolfenpyrad 15% EC</v>
          </cell>
          <cell r="D489" t="str">
            <v>Tag Fun</v>
          </cell>
        </row>
        <row r="490">
          <cell r="C490" t="str">
            <v>Tolfenpyrad 15% EC</v>
          </cell>
          <cell r="D490" t="str">
            <v>Tag Fun</v>
          </cell>
        </row>
        <row r="491">
          <cell r="C491" t="str">
            <v>Pyrithiobac Sodium 10% SC</v>
          </cell>
          <cell r="D491" t="str">
            <v>Tag Weedfire</v>
          </cell>
        </row>
        <row r="492">
          <cell r="C492" t="str">
            <v>Pyrithiobac Sodium 10% SC</v>
          </cell>
          <cell r="D492" t="str">
            <v>Tag Weedfire</v>
          </cell>
        </row>
        <row r="493">
          <cell r="C493" t="str">
            <v>Pyrithiobac Sodium 10% SC</v>
          </cell>
          <cell r="D493" t="str">
            <v>Tag Weedfire</v>
          </cell>
        </row>
        <row r="494">
          <cell r="C494" t="str">
            <v>Pyrithiobac Sodium 6% + Quizalofop Ethyl 4% EC</v>
          </cell>
          <cell r="D494" t="str">
            <v>Tag Weed Fire Plus</v>
          </cell>
        </row>
        <row r="495">
          <cell r="C495" t="str">
            <v>Pyrithiobac Sodium 6% + Quizalofop Ethyl 4% EC</v>
          </cell>
          <cell r="D495" t="str">
            <v>Tag Weed Fire Plus</v>
          </cell>
        </row>
        <row r="496">
          <cell r="C496" t="str">
            <v>Emamectin 5% + Lufenuron 40% WG</v>
          </cell>
          <cell r="D496" t="str">
            <v>Tag Cent</v>
          </cell>
        </row>
        <row r="497">
          <cell r="C497" t="str">
            <v>Emamectin 5% + Lufenuron 40% WG</v>
          </cell>
          <cell r="D497" t="str">
            <v>Tag Cent</v>
          </cell>
        </row>
        <row r="498">
          <cell r="C498" t="str">
            <v>Organic Manure</v>
          </cell>
          <cell r="D498" t="str">
            <v>Tag Rocket</v>
          </cell>
        </row>
        <row r="499">
          <cell r="C499" t="str">
            <v>Zink</v>
          </cell>
          <cell r="D499" t="str">
            <v>Tag Zink Thara</v>
          </cell>
        </row>
        <row r="500">
          <cell r="C500" t="str">
            <v>Zink</v>
          </cell>
          <cell r="D500" t="str">
            <v>Tag Zink Thara</v>
          </cell>
        </row>
        <row r="501">
          <cell r="C501" t="str">
            <v>Zink</v>
          </cell>
          <cell r="D501" t="str">
            <v>Tag Zink Thara</v>
          </cell>
        </row>
        <row r="502">
          <cell r="C502" t="str">
            <v>Zink</v>
          </cell>
          <cell r="D502" t="str">
            <v>Tag Zink Thara</v>
          </cell>
        </row>
        <row r="503">
          <cell r="C503" t="str">
            <v>Glufisonate Ammonium 13.5% SL</v>
          </cell>
          <cell r="D503" t="str">
            <v>Tag Rio</v>
          </cell>
        </row>
        <row r="504">
          <cell r="C504" t="str">
            <v>Glufisonate Ammonium 13.5% SL</v>
          </cell>
          <cell r="D504" t="str">
            <v>Tag Rio</v>
          </cell>
        </row>
        <row r="505">
          <cell r="C505" t="str">
            <v>Glufisonate Ammonium 13.5% SL</v>
          </cell>
          <cell r="D505" t="str">
            <v>Tag Rio</v>
          </cell>
        </row>
        <row r="506">
          <cell r="C506" t="str">
            <v>Glufisonate Ammonium 13.5% SL</v>
          </cell>
          <cell r="D506" t="str">
            <v>Tag Rio</v>
          </cell>
        </row>
        <row r="507">
          <cell r="C507" t="str">
            <v>Glufisonate Ammonium 13.5% SL</v>
          </cell>
          <cell r="D507" t="str">
            <v>Tag Rio</v>
          </cell>
        </row>
        <row r="508">
          <cell r="C508" t="str">
            <v>Spiromesifen 22.9% SC</v>
          </cell>
          <cell r="D508" t="str">
            <v>Tag Spiro</v>
          </cell>
        </row>
        <row r="509">
          <cell r="C509" t="str">
            <v>Spiromesifen 22.9% SC</v>
          </cell>
          <cell r="D509" t="str">
            <v>Tag Spiro</v>
          </cell>
        </row>
        <row r="510">
          <cell r="C510" t="str">
            <v>Spiromesifen 22.9% SC</v>
          </cell>
          <cell r="D510" t="str">
            <v>Tag Spiro</v>
          </cell>
        </row>
        <row r="511">
          <cell r="C511" t="str">
            <v>Spiromesifen 22.9% SC</v>
          </cell>
          <cell r="D511" t="str">
            <v>Tag Spiro</v>
          </cell>
        </row>
        <row r="512">
          <cell r="C512" t="str">
            <v>Diclosulam 84% WDG</v>
          </cell>
          <cell r="D512" t="str">
            <v>Tag Salute</v>
          </cell>
        </row>
        <row r="513">
          <cell r="C513" t="str">
            <v>Halosulfuron Methyl 75% WG</v>
          </cell>
          <cell r="D513" t="str">
            <v>Tag Smash</v>
          </cell>
        </row>
        <row r="514">
          <cell r="C514" t="str">
            <v>Halosulfuron Methyl 75% WG</v>
          </cell>
          <cell r="D514" t="str">
            <v>Tag Smash</v>
          </cell>
        </row>
        <row r="515">
          <cell r="C515" t="str">
            <v xml:space="preserve">Quinalphos 25% EC </v>
          </cell>
          <cell r="D515" t="str">
            <v>Tagquin</v>
          </cell>
        </row>
        <row r="516">
          <cell r="C516" t="str">
            <v xml:space="preserve">Quinalphos 25% EC </v>
          </cell>
          <cell r="D516" t="str">
            <v>Tagquin</v>
          </cell>
        </row>
        <row r="517">
          <cell r="C517" t="str">
            <v xml:space="preserve">Quinalphos 25% EC </v>
          </cell>
          <cell r="D517" t="str">
            <v>Tagquin</v>
          </cell>
        </row>
        <row r="518">
          <cell r="C518" t="str">
            <v xml:space="preserve">Quinalphos 25% EC </v>
          </cell>
          <cell r="D518" t="str">
            <v>Tagquin</v>
          </cell>
        </row>
        <row r="519">
          <cell r="C519" t="str">
            <v xml:space="preserve">Quinalphos 25% EC </v>
          </cell>
          <cell r="D519" t="str">
            <v>Tagquin</v>
          </cell>
        </row>
        <row r="520">
          <cell r="C520" t="str">
            <v>Topramezone 33.6 SC</v>
          </cell>
          <cell r="D520" t="str">
            <v>Tag Tingg</v>
          </cell>
        </row>
        <row r="521">
          <cell r="C521" t="str">
            <v>Topramezone 33.6 SC</v>
          </cell>
          <cell r="D521" t="str">
            <v>Tag Tingg</v>
          </cell>
        </row>
        <row r="522">
          <cell r="C522" t="str">
            <v>Acetamiprid 20% SP</v>
          </cell>
          <cell r="D522" t="str">
            <v>Tagride</v>
          </cell>
        </row>
        <row r="523">
          <cell r="C523" t="str">
            <v>Acetamiprid 20% SP</v>
          </cell>
          <cell r="D523" t="str">
            <v>Tagride</v>
          </cell>
        </row>
        <row r="524">
          <cell r="C524" t="str">
            <v>Acetamiprid 20% SP</v>
          </cell>
          <cell r="D524" t="str">
            <v>Tagride</v>
          </cell>
        </row>
        <row r="525">
          <cell r="C525" t="str">
            <v>Acetamiprid 20% SP</v>
          </cell>
          <cell r="D525" t="str">
            <v>Tagride</v>
          </cell>
        </row>
        <row r="526">
          <cell r="C526" t="str">
            <v>Acetamiprid 20% SP</v>
          </cell>
          <cell r="D526" t="str">
            <v>Tagride</v>
          </cell>
        </row>
        <row r="527">
          <cell r="C527" t="str">
            <v>Acetamiprid 20% SP</v>
          </cell>
          <cell r="D527" t="str">
            <v>Tagride</v>
          </cell>
        </row>
        <row r="528">
          <cell r="C528" t="str">
            <v>Sulpher 80% WG</v>
          </cell>
          <cell r="D528" t="str">
            <v>Tagsul</v>
          </cell>
        </row>
        <row r="529">
          <cell r="C529" t="str">
            <v>Sulpher 80% WG</v>
          </cell>
          <cell r="D529" t="str">
            <v>Tagsul</v>
          </cell>
        </row>
        <row r="530">
          <cell r="C530" t="str">
            <v>Sulpher 80% WG</v>
          </cell>
          <cell r="D530" t="str">
            <v>Tagsul</v>
          </cell>
        </row>
        <row r="531">
          <cell r="C531" t="str">
            <v>Paraquat Dichloride 22.4% + Oxyflourfen 1.99% EW</v>
          </cell>
          <cell r="D531" t="str">
            <v>Tag Proxy</v>
          </cell>
        </row>
        <row r="532">
          <cell r="C532" t="str">
            <v>Paraquat Dichloride 22.4% + Oxyflourfen 1.99% EW</v>
          </cell>
          <cell r="D532" t="str">
            <v>Tag Proxy</v>
          </cell>
        </row>
        <row r="533">
          <cell r="C533" t="str">
            <v>Paraquat Dichloride 22.4% + Oxyflourfen 1.99% EW</v>
          </cell>
          <cell r="D533" t="str">
            <v>Tag Proxy</v>
          </cell>
        </row>
        <row r="534">
          <cell r="C534" t="str">
            <v>Paraquat Dichloride 22.4% + Oxyflourfen 1.99% EW</v>
          </cell>
          <cell r="D534" t="str">
            <v>Tag Proxy</v>
          </cell>
        </row>
        <row r="535">
          <cell r="C535" t="str">
            <v>Paraquat Dichloride 22.4% + Oxyflourfen 1.99% EW</v>
          </cell>
          <cell r="D535" t="str">
            <v>Tag Proxy</v>
          </cell>
        </row>
        <row r="536">
          <cell r="C536" t="str">
            <v>Paraquat Dichloride 22.4% + Oxyflourfen 1.99% EW</v>
          </cell>
          <cell r="D536" t="str">
            <v>Tag Proxy</v>
          </cell>
        </row>
        <row r="537">
          <cell r="C537" t="str">
            <v>Thiamethoxam 1.25% + Fipronil 1.25% + Chlorantraniliprole 0.6% GR</v>
          </cell>
          <cell r="D537" t="str">
            <v>Tag Stem Lee Gr</v>
          </cell>
        </row>
        <row r="538">
          <cell r="C538" t="str">
            <v>Thiamethoxam 1.25% + Fipronil 1.25% + Chlorantraniliprole 0.6% GR</v>
          </cell>
          <cell r="D538" t="str">
            <v>Tag Stem Lee Gr</v>
          </cell>
        </row>
        <row r="539">
          <cell r="C539" t="str">
            <v>Thiamethoxam 1.25% + Fipronil 1.25% + Chlorantraniliprole 0.6% GR</v>
          </cell>
          <cell r="D539" t="str">
            <v>Tag Stem Lee Gr</v>
          </cell>
        </row>
        <row r="540">
          <cell r="C540" t="str">
            <v>Bifenthrin 10% EC</v>
          </cell>
          <cell r="D540" t="str">
            <v>Banner Plus</v>
          </cell>
        </row>
        <row r="541">
          <cell r="C541" t="str">
            <v>Bifenthrin 10% EC</v>
          </cell>
          <cell r="D541" t="str">
            <v>Banner Plus</v>
          </cell>
        </row>
        <row r="542">
          <cell r="C542" t="str">
            <v>Bifenthrin 10% EC</v>
          </cell>
          <cell r="D542" t="str">
            <v>Banner Plus</v>
          </cell>
        </row>
        <row r="543">
          <cell r="C543" t="str">
            <v>Bifenthrin 10% EC</v>
          </cell>
          <cell r="D543" t="str">
            <v>Banner Plus</v>
          </cell>
        </row>
        <row r="544">
          <cell r="C544" t="str">
            <v>Hexaconazole 75% WG</v>
          </cell>
          <cell r="D544" t="str">
            <v>Hexa Gold</v>
          </cell>
        </row>
        <row r="545">
          <cell r="C545" t="str">
            <v>Hexaconazole 75% WG</v>
          </cell>
          <cell r="D545" t="str">
            <v>Hexa Gold</v>
          </cell>
        </row>
        <row r="546">
          <cell r="C546" t="str">
            <v>Thiamethoxam 12.6% + Lambda Cyhalothrin 9.5% ZC</v>
          </cell>
          <cell r="D546" t="str">
            <v>Tagekka</v>
          </cell>
        </row>
        <row r="547">
          <cell r="C547" t="str">
            <v>Thiamethoxam 12.6% + Lambda Cyhalothrin 9.5% ZC</v>
          </cell>
          <cell r="D547" t="str">
            <v>Tagekka</v>
          </cell>
        </row>
        <row r="548">
          <cell r="C548" t="str">
            <v>Thiamethoxam 12.6% + Lambda Cyhalothrin 9.5% ZC</v>
          </cell>
          <cell r="D548" t="str">
            <v>Tagekka</v>
          </cell>
        </row>
        <row r="549">
          <cell r="C549" t="str">
            <v>Thiamethoxam 12.6% + Lambda Cyhalothrin 9.5% ZC</v>
          </cell>
          <cell r="D549" t="str">
            <v>Tagekka</v>
          </cell>
        </row>
        <row r="550">
          <cell r="C550" t="str">
            <v>Thiamethoxam 12.6% + Lambda Cyhalothrin 9.5% ZC</v>
          </cell>
          <cell r="D550" t="str">
            <v>Tagekka</v>
          </cell>
        </row>
        <row r="551">
          <cell r="C551" t="str">
            <v>Streptomycin Sulphate + Tetracycline Hydrochloride (90:10) SP</v>
          </cell>
          <cell r="D551" t="str">
            <v>Tagmycin</v>
          </cell>
        </row>
        <row r="552">
          <cell r="C552" t="str">
            <v>Streptomycin Sulphate + Tetracycline Hydrochloride (90:10) SP</v>
          </cell>
          <cell r="D552" t="str">
            <v>Tagmycin</v>
          </cell>
        </row>
        <row r="553">
          <cell r="C553" t="str">
            <v>Streptomycin Sulphate + Tetracycline Hydrochloride (90:10) SP</v>
          </cell>
          <cell r="D553" t="str">
            <v>Tagmycin</v>
          </cell>
        </row>
        <row r="554">
          <cell r="C554" t="str">
            <v>Thiamethoxam 75% SG</v>
          </cell>
          <cell r="D554" t="str">
            <v>Tagxone Gold</v>
          </cell>
        </row>
        <row r="555">
          <cell r="C555" t="str">
            <v>Thiamethoxam 75% SG</v>
          </cell>
          <cell r="D555" t="str">
            <v>Tagxone Gold</v>
          </cell>
        </row>
        <row r="556">
          <cell r="C556" t="str">
            <v>Thiamethoxam 75% SG</v>
          </cell>
          <cell r="D556" t="str">
            <v>Tagxone Gold</v>
          </cell>
        </row>
        <row r="557">
          <cell r="C557" t="str">
            <v>Thiamethoxam 75% SG</v>
          </cell>
          <cell r="D557" t="str">
            <v>Tagxone Gold</v>
          </cell>
        </row>
        <row r="558">
          <cell r="C558" t="str">
            <v>Thiamethoxam 75% SG</v>
          </cell>
          <cell r="D558" t="str">
            <v>Tagxone Gold</v>
          </cell>
        </row>
        <row r="559">
          <cell r="C559" t="str">
            <v>Thiamethoxam 75% SG</v>
          </cell>
          <cell r="D559" t="str">
            <v>Tagxone Gold</v>
          </cell>
        </row>
        <row r="560">
          <cell r="C560" t="str">
            <v>Gibberellic Acid 0.001% L</v>
          </cell>
          <cell r="D560" t="str">
            <v>Tagbumper Gold</v>
          </cell>
        </row>
        <row r="561">
          <cell r="C561" t="str">
            <v>Gibberellic Acid 0.001% L</v>
          </cell>
          <cell r="D561" t="str">
            <v>Tagbumper Gold</v>
          </cell>
        </row>
        <row r="562">
          <cell r="C562" t="str">
            <v>Gibberellic Acid 0.001% L</v>
          </cell>
          <cell r="D562" t="str">
            <v>Tagbumper Gold</v>
          </cell>
        </row>
        <row r="563">
          <cell r="C563" t="str">
            <v>Gibberellic Acid 0.001% L</v>
          </cell>
          <cell r="D563" t="str">
            <v>Tagbumper Gold</v>
          </cell>
        </row>
        <row r="564">
          <cell r="C564" t="str">
            <v>Gibberellic Acid 0.001% L</v>
          </cell>
          <cell r="D564" t="str">
            <v>Tagbumper Gold</v>
          </cell>
        </row>
        <row r="565">
          <cell r="C565" t="str">
            <v>Acetobacter</v>
          </cell>
          <cell r="D565" t="str">
            <v>Tagbio Gold</v>
          </cell>
        </row>
        <row r="566">
          <cell r="C566" t="str">
            <v>Acetobacter</v>
          </cell>
          <cell r="D566" t="str">
            <v>Tagbio Gold</v>
          </cell>
        </row>
        <row r="567">
          <cell r="C567" t="str">
            <v>Acetobacter</v>
          </cell>
          <cell r="D567" t="str">
            <v>Tagbio Gold</v>
          </cell>
        </row>
        <row r="568">
          <cell r="C568" t="str">
            <v>Acetobacter</v>
          </cell>
          <cell r="D568" t="str">
            <v>Tagbio Gold</v>
          </cell>
        </row>
        <row r="569">
          <cell r="C569" t="str">
            <v>Folic Acid</v>
          </cell>
          <cell r="D569" t="str">
            <v>Phantom Gold Plus</v>
          </cell>
        </row>
        <row r="570">
          <cell r="C570" t="str">
            <v>Folic Acid</v>
          </cell>
          <cell r="D570" t="str">
            <v>Phantom Gold Plus</v>
          </cell>
        </row>
        <row r="571">
          <cell r="C571" t="str">
            <v>Folic Acid</v>
          </cell>
          <cell r="D571" t="str">
            <v>Phantom Gold Plus</v>
          </cell>
        </row>
        <row r="572">
          <cell r="C572" t="str">
            <v>Folic Acid</v>
          </cell>
          <cell r="D572" t="str">
            <v>Phantom Gold Plus</v>
          </cell>
        </row>
        <row r="573">
          <cell r="C573" t="str">
            <v>Folic Acid</v>
          </cell>
          <cell r="D573" t="str">
            <v>Phantom Gold Plus</v>
          </cell>
        </row>
        <row r="574">
          <cell r="C574" t="str">
            <v>NPK 25:16:12</v>
          </cell>
          <cell r="D574" t="str">
            <v>Tag Start</v>
          </cell>
        </row>
        <row r="575">
          <cell r="C575" t="str">
            <v>NPK 25:16:12</v>
          </cell>
          <cell r="D575" t="str">
            <v>Tag Start</v>
          </cell>
        </row>
        <row r="576">
          <cell r="C576" t="str">
            <v>NPK 25:16:12</v>
          </cell>
          <cell r="D576" t="str">
            <v>Tag Start</v>
          </cell>
        </row>
        <row r="577">
          <cell r="C577" t="str">
            <v>NPK 0:40:40</v>
          </cell>
          <cell r="D577" t="str">
            <v>Tag Topper</v>
          </cell>
        </row>
        <row r="578">
          <cell r="C578" t="str">
            <v>NPK 0:40:40</v>
          </cell>
          <cell r="D578" t="str">
            <v>Tag Topper</v>
          </cell>
        </row>
        <row r="579">
          <cell r="C579" t="str">
            <v>NPK 0:40:40</v>
          </cell>
          <cell r="D579" t="str">
            <v>Tag Topper</v>
          </cell>
        </row>
        <row r="580">
          <cell r="C580" t="str">
            <v>Spinetoram 11.7% SC</v>
          </cell>
          <cell r="D580" t="str">
            <v>Champion</v>
          </cell>
        </row>
        <row r="581">
          <cell r="C581" t="str">
            <v>Spinetoram 11.7% SC</v>
          </cell>
          <cell r="D581" t="str">
            <v>Champion</v>
          </cell>
        </row>
        <row r="582">
          <cell r="C582" t="str">
            <v>Spinetoram 11.7% SC</v>
          </cell>
          <cell r="D582" t="str">
            <v>Champion</v>
          </cell>
        </row>
        <row r="583">
          <cell r="C583" t="str">
            <v>Dimethomorph 50% WP</v>
          </cell>
          <cell r="D583" t="str">
            <v>Talon</v>
          </cell>
        </row>
        <row r="584">
          <cell r="C584" t="str">
            <v>Dimethomorph 50% WP</v>
          </cell>
          <cell r="D584" t="str">
            <v>Talon</v>
          </cell>
        </row>
        <row r="585">
          <cell r="C585" t="str">
            <v>Dimethomorph 50% WP</v>
          </cell>
          <cell r="D585" t="str">
            <v>Talon</v>
          </cell>
        </row>
        <row r="586">
          <cell r="C586" t="str">
            <v>Cyhalofop Butyl 5.1% + Penoxsulam 1.02% OD</v>
          </cell>
          <cell r="D586" t="str">
            <v>Tag Viva</v>
          </cell>
        </row>
        <row r="587">
          <cell r="C587" t="str">
            <v>Cyhalofop Butyl 5.1% + Penoxsulam 1.02% OD</v>
          </cell>
          <cell r="D587" t="str">
            <v>Tag Viva</v>
          </cell>
        </row>
        <row r="588">
          <cell r="C588" t="str">
            <v>Protein Hydrolysate</v>
          </cell>
          <cell r="D588" t="str">
            <v>Tag Carb-N</v>
          </cell>
        </row>
        <row r="589">
          <cell r="C589" t="str">
            <v>Protein Hydrolysate</v>
          </cell>
          <cell r="D589" t="str">
            <v>Tag Carb-N</v>
          </cell>
        </row>
        <row r="590">
          <cell r="C590" t="str">
            <v>Potash Derived from Rhodophytes (Organic Potash)</v>
          </cell>
          <cell r="D590" t="str">
            <v>Tag K 20</v>
          </cell>
        </row>
        <row r="591">
          <cell r="C591" t="str">
            <v>Potash Derived from Rhodophytes (Organic Potash)</v>
          </cell>
          <cell r="D591" t="str">
            <v>Tag K 20</v>
          </cell>
        </row>
        <row r="592">
          <cell r="C592" t="str">
            <v>Potash Derived from Rhodophytes (Organic Potash)</v>
          </cell>
          <cell r="D592" t="str">
            <v>Tag K 20</v>
          </cell>
        </row>
        <row r="593">
          <cell r="C593" t="str">
            <v>Potash Derived from Rhodophytes (Organic Potash)</v>
          </cell>
          <cell r="D593" t="str">
            <v>Tag K 20</v>
          </cell>
        </row>
        <row r="594">
          <cell r="C594" t="str">
            <v>Potash Derived from Rhodophytes (Organic Potash)</v>
          </cell>
          <cell r="D594" t="str">
            <v>Tag K 20</v>
          </cell>
        </row>
        <row r="595">
          <cell r="C595" t="str">
            <v>Potash Derived from Rhodophytes (Organic Potash)</v>
          </cell>
          <cell r="D595" t="str">
            <v>Tag K 20</v>
          </cell>
        </row>
        <row r="596">
          <cell r="C596" t="str">
            <v>Cymoxilin 50% WP</v>
          </cell>
          <cell r="D596" t="str">
            <v>Tagmax</v>
          </cell>
        </row>
        <row r="597">
          <cell r="C597" t="str">
            <v>Cymoxilin 50% WP</v>
          </cell>
          <cell r="D597" t="str">
            <v>Tagmax</v>
          </cell>
        </row>
        <row r="598">
          <cell r="C598" t="str">
            <v>Cymoxilin 50% WP</v>
          </cell>
          <cell r="D598" t="str">
            <v>Tagmax</v>
          </cell>
        </row>
        <row r="599">
          <cell r="C599" t="str">
            <v>Cymoxilin 50% WP</v>
          </cell>
          <cell r="D599" t="str">
            <v>Tagmax</v>
          </cell>
        </row>
        <row r="600">
          <cell r="C600" t="str">
            <v>Cymoxilin 50% WP</v>
          </cell>
          <cell r="D600" t="str">
            <v>Tagmax</v>
          </cell>
        </row>
        <row r="601">
          <cell r="C601" t="str">
            <v>Paclobutrazol 40% SC</v>
          </cell>
          <cell r="D601" t="str">
            <v>Tag Tar Gold</v>
          </cell>
        </row>
        <row r="602">
          <cell r="C602" t="str">
            <v>Paclobutrazol 40% SC</v>
          </cell>
          <cell r="D602" t="str">
            <v>Tag Tar Gold</v>
          </cell>
        </row>
        <row r="603">
          <cell r="C603" t="str">
            <v>Ametryne 80% WDG</v>
          </cell>
          <cell r="D603" t="str">
            <v>Tagtrin</v>
          </cell>
        </row>
        <row r="604">
          <cell r="C604" t="str">
            <v>Ametryne 80% WDG</v>
          </cell>
          <cell r="D604" t="str">
            <v>Tagtrin</v>
          </cell>
        </row>
        <row r="605">
          <cell r="C605" t="str">
            <v>Quizalofop Ethyl 10% EC</v>
          </cell>
          <cell r="D605" t="str">
            <v>Tag Quick Plus</v>
          </cell>
        </row>
        <row r="606">
          <cell r="C606" t="str">
            <v>Quizalofop Ethyl 10% EC</v>
          </cell>
          <cell r="D606" t="str">
            <v>Tag Quick Plus</v>
          </cell>
        </row>
        <row r="607">
          <cell r="C607" t="str">
            <v>Quizalofop Ethyl 10% EC</v>
          </cell>
          <cell r="D607" t="str">
            <v>Tag Quick Plus</v>
          </cell>
        </row>
        <row r="608">
          <cell r="C608" t="str">
            <v>Quizalofop Ethyl 10% EC</v>
          </cell>
          <cell r="D608" t="str">
            <v>Tag Quick Plus</v>
          </cell>
        </row>
        <row r="609">
          <cell r="C609" t="str">
            <v>Monocrotophos 36% SL</v>
          </cell>
          <cell r="D609" t="str">
            <v>Macrofos</v>
          </cell>
        </row>
        <row r="610">
          <cell r="C610" t="str">
            <v>Monocrotophos 36% SL</v>
          </cell>
          <cell r="D610" t="str">
            <v>Macrofos</v>
          </cell>
        </row>
        <row r="611">
          <cell r="C611" t="str">
            <v>Monocrotophos 36% SL</v>
          </cell>
          <cell r="D611" t="str">
            <v>Macrofos</v>
          </cell>
        </row>
        <row r="612">
          <cell r="C612" t="str">
            <v>Monocrotophos 36% SL</v>
          </cell>
          <cell r="D612" t="str">
            <v>Macrofos</v>
          </cell>
        </row>
        <row r="613">
          <cell r="C613" t="str">
            <v>Monocrotophos 36% SL</v>
          </cell>
          <cell r="D613" t="str">
            <v>Macrofos</v>
          </cell>
        </row>
        <row r="614">
          <cell r="C614" t="str">
            <v>Potash Derived from Rhodophytes</v>
          </cell>
          <cell r="D614" t="str">
            <v>K-Potash</v>
          </cell>
        </row>
        <row r="615">
          <cell r="C615" t="str">
            <v>Potash Derived from Rhodophytes</v>
          </cell>
          <cell r="D615" t="str">
            <v>K-Potash</v>
          </cell>
        </row>
        <row r="616">
          <cell r="C616" t="str">
            <v>Potash Mobilizing Biofetilizer</v>
          </cell>
          <cell r="D616" t="str">
            <v>Tag Neo Potash</v>
          </cell>
        </row>
        <row r="617">
          <cell r="C617" t="str">
            <v>Potash Mobilizing Biofetilizer</v>
          </cell>
          <cell r="D617" t="str">
            <v>Tag Neo Potash</v>
          </cell>
        </row>
        <row r="618">
          <cell r="C618" t="str">
            <v>Potash Mobilizing Biofetilizer</v>
          </cell>
          <cell r="D618" t="str">
            <v>Tag Neo Potash</v>
          </cell>
        </row>
        <row r="619">
          <cell r="C619" t="str">
            <v>Potash Mobilizing Biofetilizer</v>
          </cell>
          <cell r="D619" t="str">
            <v>Tag Neo Potash</v>
          </cell>
        </row>
        <row r="620">
          <cell r="C620" t="str">
            <v>Clothianidin 50% WG</v>
          </cell>
          <cell r="D620" t="str">
            <v>Tag Den</v>
          </cell>
        </row>
        <row r="621">
          <cell r="C621" t="str">
            <v>Clothianidin 50% WG</v>
          </cell>
          <cell r="D621" t="str">
            <v>Tag Den</v>
          </cell>
        </row>
        <row r="622">
          <cell r="C622" t="str">
            <v>Fipronil 5% SC</v>
          </cell>
          <cell r="D622" t="str">
            <v>Tag Agent</v>
          </cell>
        </row>
        <row r="623">
          <cell r="C623" t="str">
            <v>Fipronil 5% SC</v>
          </cell>
          <cell r="D623" t="str">
            <v>Tag Agent</v>
          </cell>
        </row>
        <row r="624">
          <cell r="C624" t="str">
            <v>Fipronil 5% SC</v>
          </cell>
          <cell r="D624" t="str">
            <v>Tag Agent</v>
          </cell>
        </row>
        <row r="625">
          <cell r="C625" t="str">
            <v>Fipronil 5% SC</v>
          </cell>
          <cell r="D625" t="str">
            <v>Tag Agent</v>
          </cell>
        </row>
        <row r="626">
          <cell r="C626" t="str">
            <v>Lufenuron 5.4% EC</v>
          </cell>
          <cell r="D626" t="str">
            <v>Tag Leder</v>
          </cell>
        </row>
        <row r="627">
          <cell r="C627" t="str">
            <v>Lufenuron 5.4% EC</v>
          </cell>
          <cell r="D627" t="str">
            <v>Tag Leder</v>
          </cell>
        </row>
        <row r="628">
          <cell r="C628" t="str">
            <v>Lufenuron 5.4% EC</v>
          </cell>
          <cell r="D628" t="str">
            <v>Tag Leder</v>
          </cell>
        </row>
        <row r="629">
          <cell r="C629" t="str">
            <v>Lufenuron 5.4% EC</v>
          </cell>
          <cell r="D629" t="str">
            <v>Tag Leder</v>
          </cell>
        </row>
        <row r="630">
          <cell r="C630" t="str">
            <v>NPK 19:19:19</v>
          </cell>
          <cell r="D630" t="str">
            <v>Tag Fertis 19.19.19</v>
          </cell>
        </row>
        <row r="631">
          <cell r="C631" t="str">
            <v>NPK 13.40.13</v>
          </cell>
          <cell r="D631" t="str">
            <v>Tag Fertis 13.40.13</v>
          </cell>
        </row>
        <row r="632">
          <cell r="C632" t="str">
            <v>Check</v>
          </cell>
          <cell r="D632" t="str">
            <v>Tag Emblica</v>
          </cell>
        </row>
        <row r="633">
          <cell r="C633" t="str">
            <v>Check</v>
          </cell>
          <cell r="D633" t="str">
            <v>Tag Emblica</v>
          </cell>
        </row>
        <row r="634">
          <cell r="C634" t="str">
            <v>Check</v>
          </cell>
          <cell r="D634" t="str">
            <v>Tag Emblica</v>
          </cell>
        </row>
        <row r="635">
          <cell r="C635" t="str">
            <v>Pseudomonas fluorescens 1% WP</v>
          </cell>
          <cell r="D635" t="str">
            <v>Tagmonas</v>
          </cell>
        </row>
        <row r="636">
          <cell r="C636" t="str">
            <v>Trichoderma Viride 1.5% WP</v>
          </cell>
          <cell r="D636" t="str">
            <v>Taglife</v>
          </cell>
        </row>
        <row r="637">
          <cell r="C637" t="str">
            <v>Imazathapyr  70% WG</v>
          </cell>
          <cell r="D637" t="str">
            <v>Tagpyr Plus</v>
          </cell>
        </row>
        <row r="638">
          <cell r="C638" t="str">
            <v>Imazathapyr  70% WG</v>
          </cell>
          <cell r="D638" t="str">
            <v>Tagpyr Plus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ump"/>
      <sheetName val="Working"/>
      <sheetName val="PriceList"/>
    </sheetNames>
    <sheetDataSet>
      <sheetData sheetId="0"/>
      <sheetData sheetId="1"/>
      <sheetData sheetId="2">
        <row r="1">
          <cell r="C1" t="str">
            <v>Technical</v>
          </cell>
          <cell r="D1" t="str">
            <v>Product Name</v>
          </cell>
        </row>
        <row r="2">
          <cell r="C2" t="str">
            <v>Pymetrozine 50% WG</v>
          </cell>
          <cell r="D2" t="str">
            <v>Across X</v>
          </cell>
        </row>
        <row r="3">
          <cell r="C3" t="str">
            <v>Pymetrozine 50% WG</v>
          </cell>
          <cell r="D3" t="str">
            <v>Across X</v>
          </cell>
        </row>
        <row r="4">
          <cell r="C4" t="str">
            <v>Pymetrozine 50% WG</v>
          </cell>
          <cell r="D4" t="str">
            <v>Across X</v>
          </cell>
        </row>
        <row r="5">
          <cell r="C5" t="str">
            <v>Pymetrozine 50% WG</v>
          </cell>
          <cell r="D5" t="str">
            <v>Across X</v>
          </cell>
        </row>
        <row r="6">
          <cell r="C6" t="str">
            <v>Thifluzamide 24% SC</v>
          </cell>
          <cell r="D6" t="str">
            <v>Atal-G</v>
          </cell>
        </row>
        <row r="7">
          <cell r="C7" t="str">
            <v>Thifluzamide 24% SC</v>
          </cell>
          <cell r="D7" t="str">
            <v>Atal-G</v>
          </cell>
        </row>
        <row r="8">
          <cell r="C8" t="str">
            <v>Thifluzamide 24% SC</v>
          </cell>
          <cell r="D8" t="str">
            <v>Atal-G</v>
          </cell>
        </row>
        <row r="9">
          <cell r="C9" t="str">
            <v>Thifluzamide 24% SC</v>
          </cell>
          <cell r="D9" t="str">
            <v>Atal-G</v>
          </cell>
        </row>
        <row r="10">
          <cell r="C10" t="str">
            <v>Pymetrozine 25% + Thiamethoxam 17.5% + Hexaconazole 12.5% WG</v>
          </cell>
          <cell r="D10" t="str">
            <v>Afford</v>
          </cell>
        </row>
        <row r="11">
          <cell r="C11" t="str">
            <v>Pymetrozine 25% + Thiamethoxam 17.5% + Hexaconazole 12.5% WG</v>
          </cell>
          <cell r="D11" t="str">
            <v>Afford</v>
          </cell>
        </row>
        <row r="12">
          <cell r="C12" t="str">
            <v>Pymetrozine 25% + Thiamethoxam 17.5% + Hexaconazole 12.5% WG</v>
          </cell>
          <cell r="D12" t="str">
            <v>Afford</v>
          </cell>
        </row>
        <row r="13">
          <cell r="C13" t="str">
            <v>Pymetrozine 25% + Thiamethoxam 17.5% + Hexaconazole 12.5% WG</v>
          </cell>
          <cell r="D13" t="str">
            <v>Afford</v>
          </cell>
        </row>
        <row r="14">
          <cell r="C14" t="str">
            <v>Thiocyclam Hydrogen Oxalate 3% + Clothianidin 1.2% GR</v>
          </cell>
          <cell r="D14" t="str">
            <v>Aurthor</v>
          </cell>
        </row>
        <row r="15">
          <cell r="C15" t="str">
            <v>Thiocyclam Hydrogen Oxalate 3% + Clothianidin 1.2% GR</v>
          </cell>
          <cell r="D15" t="str">
            <v>Aurthor</v>
          </cell>
        </row>
        <row r="16">
          <cell r="C16" t="str">
            <v>Pendimethalin 15% + Pyrazosufuron Ethyl 0.15% GR</v>
          </cell>
          <cell r="D16" t="str">
            <v>Allrounder</v>
          </cell>
        </row>
        <row r="17">
          <cell r="C17" t="str">
            <v>Chlorantraniliprole 0.4% GR</v>
          </cell>
          <cell r="D17" t="str">
            <v>Ballot</v>
          </cell>
        </row>
        <row r="18">
          <cell r="C18" t="str">
            <v>Chlorantraniliprole 0.4% GR</v>
          </cell>
          <cell r="D18" t="str">
            <v>Ballot</v>
          </cell>
        </row>
        <row r="19">
          <cell r="C19" t="str">
            <v>Thiamethoxam 1% + Chlorantraniliprole 0.5% GR</v>
          </cell>
          <cell r="D19" t="str">
            <v>Ballot pro</v>
          </cell>
        </row>
        <row r="20">
          <cell r="C20" t="str">
            <v>Thiamethoxam 1% + Chlorantraniliprole 0.5% GR</v>
          </cell>
          <cell r="D20" t="str">
            <v>Ballot pro</v>
          </cell>
        </row>
        <row r="21">
          <cell r="C21" t="str">
            <v>Thiamethoxam 1% + Chlorantraniliprole 0.5% GR</v>
          </cell>
          <cell r="D21" t="str">
            <v>Ballot pro</v>
          </cell>
        </row>
        <row r="22">
          <cell r="C22" t="str">
            <v>Pyroxasulfone 85% WG</v>
          </cell>
          <cell r="D22" t="str">
            <v>Baji</v>
          </cell>
        </row>
        <row r="23">
          <cell r="C23" t="str">
            <v>Plant Protein</v>
          </cell>
          <cell r="D23" t="str">
            <v>Crazy Pro</v>
          </cell>
        </row>
        <row r="24">
          <cell r="C24" t="str">
            <v>Plant Protein</v>
          </cell>
          <cell r="D24" t="str">
            <v>Crazy Pro</v>
          </cell>
        </row>
        <row r="25">
          <cell r="C25" t="str">
            <v>Plant Protein</v>
          </cell>
          <cell r="D25" t="str">
            <v>Crazy Pro</v>
          </cell>
        </row>
        <row r="26">
          <cell r="C26" t="str">
            <v>Plant Protein</v>
          </cell>
          <cell r="D26" t="str">
            <v>Crazy Pro</v>
          </cell>
        </row>
        <row r="27">
          <cell r="C27" t="str">
            <v>Plant Protein</v>
          </cell>
          <cell r="D27" t="str">
            <v>Crazy Pro</v>
          </cell>
        </row>
        <row r="28">
          <cell r="C28" t="str">
            <v>Azoxystrobin 18.2% + Difenconazole 11.4% SC</v>
          </cell>
          <cell r="D28" t="str">
            <v>Dronex</v>
          </cell>
        </row>
        <row r="29">
          <cell r="C29" t="str">
            <v>Azoxystrobin 18.2% + Difenconazole 11.4% SC</v>
          </cell>
          <cell r="D29" t="str">
            <v>Dronex</v>
          </cell>
        </row>
        <row r="30">
          <cell r="C30" t="str">
            <v>Azoxystrobin 18.2% + Difenconazole 11.4% SC</v>
          </cell>
          <cell r="D30" t="str">
            <v>Dronex</v>
          </cell>
        </row>
        <row r="31">
          <cell r="C31" t="str">
            <v>Azoxystrobin 18.2% + Difenconazole 11.4% SC</v>
          </cell>
          <cell r="D31" t="str">
            <v>Dronex</v>
          </cell>
        </row>
        <row r="32">
          <cell r="C32" t="str">
            <v>Azoxystrobin 18.2% + Difenconazole 11.4% SC</v>
          </cell>
          <cell r="D32" t="str">
            <v>Dronex</v>
          </cell>
        </row>
        <row r="33">
          <cell r="C33" t="str">
            <v>Azoxystrobin 18.2% + Difenconazole 11.4% SC</v>
          </cell>
          <cell r="D33" t="str">
            <v>Dronex</v>
          </cell>
        </row>
        <row r="34">
          <cell r="C34" t="str">
            <v>Thifluzamide 15% + Difenconazole 11.4% SC</v>
          </cell>
          <cell r="D34" t="str">
            <v>Element</v>
          </cell>
        </row>
        <row r="35">
          <cell r="C35" t="str">
            <v>Thifluzamide 15% + Difenconazole 11.4% SC</v>
          </cell>
          <cell r="D35" t="str">
            <v>Element</v>
          </cell>
        </row>
        <row r="36">
          <cell r="C36" t="str">
            <v>Thifluzamide 15% + Difenconazole 11.4% SC</v>
          </cell>
          <cell r="D36" t="str">
            <v>Element</v>
          </cell>
        </row>
        <row r="37">
          <cell r="C37" t="str">
            <v>Thifluzamide 15% + Difenconazole 11.4% SC</v>
          </cell>
          <cell r="D37" t="str">
            <v>Element</v>
          </cell>
        </row>
        <row r="38">
          <cell r="C38" t="str">
            <v>Bifenthrin 8% + Clothianidin 10% SC</v>
          </cell>
          <cell r="D38" t="str">
            <v>Batter</v>
          </cell>
        </row>
        <row r="39">
          <cell r="C39" t="str">
            <v>Bifenthrin 8% + Clothianidin 10% SC</v>
          </cell>
          <cell r="D39" t="str">
            <v>Batter</v>
          </cell>
        </row>
        <row r="40">
          <cell r="C40" t="str">
            <v>Bifenthrin 8% + Clothianidin 10% SC</v>
          </cell>
          <cell r="D40" t="str">
            <v>Batter</v>
          </cell>
        </row>
        <row r="41">
          <cell r="C41" t="str">
            <v>Bifenthrin 8% + Clothianidin 10% SC</v>
          </cell>
          <cell r="D41" t="str">
            <v>Batter</v>
          </cell>
        </row>
        <row r="42">
          <cell r="C42" t="str">
            <v>Emamectin Benzoate 1.8% + Methoxyfenozide 18% SC</v>
          </cell>
          <cell r="D42" t="str">
            <v>Fighter</v>
          </cell>
        </row>
        <row r="43">
          <cell r="C43" t="str">
            <v>Emamectin Benzoate 1.8% + Methoxyfenozide 18% SC</v>
          </cell>
          <cell r="D43" t="str">
            <v>Fighter</v>
          </cell>
        </row>
        <row r="44">
          <cell r="C44" t="str">
            <v>Emamectin Benzoate 1.8% + Methoxyfenozide 18% SC</v>
          </cell>
          <cell r="D44" t="str">
            <v>Fighter</v>
          </cell>
        </row>
        <row r="45">
          <cell r="C45" t="str">
            <v>Paclobutrazol 23% SC</v>
          </cell>
          <cell r="D45" t="str">
            <v>Flute</v>
          </cell>
        </row>
        <row r="46">
          <cell r="C46" t="str">
            <v>Paclobutrazol 23% SC</v>
          </cell>
          <cell r="D46" t="str">
            <v>Flute</v>
          </cell>
        </row>
        <row r="47">
          <cell r="C47" t="str">
            <v>Paclobutrazol 23% SC</v>
          </cell>
          <cell r="D47" t="str">
            <v>Flute</v>
          </cell>
        </row>
        <row r="48">
          <cell r="C48" t="str">
            <v>Paclobutrazol 23% SC</v>
          </cell>
          <cell r="D48" t="str">
            <v>Flute</v>
          </cell>
        </row>
        <row r="49">
          <cell r="C49" t="str">
            <v>Bio Stimulent</v>
          </cell>
          <cell r="D49" t="str">
            <v>Gold Coin GR</v>
          </cell>
        </row>
        <row r="50">
          <cell r="C50" t="str">
            <v>Bio Stimulent</v>
          </cell>
          <cell r="D50" t="str">
            <v>Gold Coin GR</v>
          </cell>
        </row>
        <row r="51">
          <cell r="C51" t="str">
            <v>Chlorantraniliprole 18.5% SC</v>
          </cell>
          <cell r="D51" t="str">
            <v>Helipro</v>
          </cell>
        </row>
        <row r="52">
          <cell r="C52" t="str">
            <v>Chlorantraniliprole 18.5% SC</v>
          </cell>
          <cell r="D52" t="str">
            <v>Helipro</v>
          </cell>
        </row>
        <row r="53">
          <cell r="C53" t="str">
            <v>Chlorantraniliprole 18.5% SC</v>
          </cell>
          <cell r="D53" t="str">
            <v>Helipro</v>
          </cell>
        </row>
        <row r="54">
          <cell r="C54" t="str">
            <v>Chlorantraniliprole 18.5% SC</v>
          </cell>
          <cell r="D54" t="str">
            <v>Helipro</v>
          </cell>
        </row>
        <row r="55">
          <cell r="C55" t="str">
            <v>Chlorantraniliprole 9.3% + Lambdacyhalothrin 4.6% ZC</v>
          </cell>
          <cell r="D55" t="str">
            <v>Heli power</v>
          </cell>
        </row>
        <row r="56">
          <cell r="C56" t="str">
            <v>Chlorantraniliprole 9.3% + Lambdacyhalothrin 4.6% ZC</v>
          </cell>
          <cell r="D56" t="str">
            <v>Heli power</v>
          </cell>
        </row>
        <row r="57">
          <cell r="C57" t="str">
            <v>Chlorantraniliprole 9.3% + Lambdacyhalothrin 4.6% ZC</v>
          </cell>
          <cell r="D57" t="str">
            <v>Heli power</v>
          </cell>
        </row>
        <row r="58">
          <cell r="C58" t="str">
            <v>Chlorantraniliprole 9.3% + Lambdacyhalothrin 4.6% ZC</v>
          </cell>
          <cell r="D58" t="str">
            <v>Heli power</v>
          </cell>
        </row>
        <row r="59">
          <cell r="C59" t="str">
            <v>Chlorantraniliprole 9.3% + Lambdacyhalothrin 4.6% ZC</v>
          </cell>
          <cell r="D59" t="str">
            <v>Heli power</v>
          </cell>
        </row>
        <row r="60">
          <cell r="C60" t="str">
            <v>Clothianidin 50% WG</v>
          </cell>
          <cell r="D60" t="str">
            <v>Indotop</v>
          </cell>
        </row>
        <row r="61">
          <cell r="C61" t="str">
            <v>Clothianidin 50% WG</v>
          </cell>
          <cell r="D61" t="str">
            <v>Indotop</v>
          </cell>
        </row>
        <row r="62">
          <cell r="C62" t="str">
            <v>Clothianidin 50% WG</v>
          </cell>
          <cell r="D62" t="str">
            <v>Indotop</v>
          </cell>
        </row>
        <row r="63">
          <cell r="C63" t="str">
            <v>Methoxyfenozide 20% + Chlorantraniliprole 5% SC</v>
          </cell>
          <cell r="D63" t="str">
            <v>Liger</v>
          </cell>
        </row>
        <row r="64">
          <cell r="C64" t="str">
            <v>Methoxyfenozide 20% + Chlorantraniliprole 5% SC</v>
          </cell>
          <cell r="D64" t="str">
            <v>Liger</v>
          </cell>
        </row>
        <row r="65">
          <cell r="C65" t="str">
            <v>Methoxyfenozide 20% + Chlorantraniliprole 5% SC</v>
          </cell>
          <cell r="D65" t="str">
            <v>Liger</v>
          </cell>
        </row>
        <row r="66">
          <cell r="C66" t="str">
            <v>Methoxyfenozide 20% + Chlorantraniliprole 5% SC</v>
          </cell>
          <cell r="D66" t="str">
            <v>Liger</v>
          </cell>
        </row>
        <row r="67">
          <cell r="C67" t="str">
            <v>Pendimethalin 35% + Metribuzin 3.5% SE</v>
          </cell>
          <cell r="D67" t="str">
            <v>Platform</v>
          </cell>
        </row>
        <row r="68">
          <cell r="C68" t="str">
            <v>Pendimethalin 35% + Metribuzin 3.5% SE</v>
          </cell>
          <cell r="D68" t="str">
            <v>Platform</v>
          </cell>
        </row>
        <row r="69">
          <cell r="C69" t="str">
            <v>Pendimethalin 35% + Metribuzin 3.5% SE</v>
          </cell>
          <cell r="D69" t="str">
            <v>Platform</v>
          </cell>
        </row>
        <row r="70">
          <cell r="C70" t="str">
            <v>Pyraclostroblin 3.5% + Metribuzin 3.5% SP</v>
          </cell>
          <cell r="D70" t="str">
            <v>PCT-410</v>
          </cell>
        </row>
        <row r="71">
          <cell r="C71" t="str">
            <v>Pyraclostrobin 3.5% + Thiram 15% + Clothianidin 22.5% FS</v>
          </cell>
          <cell r="D71" t="str">
            <v>PCT-410</v>
          </cell>
        </row>
        <row r="72">
          <cell r="C72" t="str">
            <v>Pyraclostrobin 3.5% + Thiram 15% + Clothianidin 22.5% FS</v>
          </cell>
          <cell r="D72" t="str">
            <v>PCT-410</v>
          </cell>
        </row>
        <row r="73">
          <cell r="C73" t="str">
            <v>Pyraclostrobin 3.5% + Thiram 15% + Clothianidin 22.5% FS</v>
          </cell>
          <cell r="D73" t="str">
            <v>PCT-410</v>
          </cell>
        </row>
        <row r="74">
          <cell r="C74" t="str">
            <v>Pyraclostrobin 3.5% + Thiram 15% + Clothianidin 22.5% FS</v>
          </cell>
          <cell r="D74" t="str">
            <v>PCT-410</v>
          </cell>
        </row>
        <row r="75">
          <cell r="C75" t="str">
            <v>Tolfenpyrad 15% EC + Bifenthrin 7.5% SE</v>
          </cell>
          <cell r="D75" t="str">
            <v>Raavan</v>
          </cell>
        </row>
        <row r="76">
          <cell r="C76" t="str">
            <v>Tolfenpyrad 15% EC + Bifenthrin 7.5% SE</v>
          </cell>
          <cell r="D76" t="str">
            <v>Raavan</v>
          </cell>
        </row>
        <row r="77">
          <cell r="C77" t="str">
            <v>Tolfenpyrad 15% EC + Bifenthrin 7.5% SE</v>
          </cell>
          <cell r="D77" t="str">
            <v>Raavan</v>
          </cell>
        </row>
        <row r="78">
          <cell r="C78" t="str">
            <v>Tolfenpyrad 15% EC + Bifenthrin 7.5% SE</v>
          </cell>
          <cell r="D78" t="str">
            <v>Raavan</v>
          </cell>
        </row>
        <row r="79">
          <cell r="C79" t="str">
            <v>Thiamethoxam 30% FS</v>
          </cell>
          <cell r="D79" t="str">
            <v>Slayer Pro</v>
          </cell>
        </row>
        <row r="80">
          <cell r="C80" t="str">
            <v>Thiamethoxam 30% FS</v>
          </cell>
          <cell r="D80" t="str">
            <v>Slayer Pro</v>
          </cell>
        </row>
        <row r="81">
          <cell r="C81" t="str">
            <v>Thiamethoxam 30% FS</v>
          </cell>
          <cell r="D81" t="str">
            <v>Slayer Pro</v>
          </cell>
        </row>
        <row r="82">
          <cell r="C82" t="str">
            <v>Thiamethoxam 30% FS</v>
          </cell>
          <cell r="D82" t="str">
            <v>Slayer Pro</v>
          </cell>
        </row>
        <row r="83">
          <cell r="C83" t="str">
            <v>Thiamethoxam 30% FS</v>
          </cell>
          <cell r="D83" t="str">
            <v>Slayer Pro</v>
          </cell>
        </row>
        <row r="84">
          <cell r="C84" t="str">
            <v>Thiamethoxam 30% FS</v>
          </cell>
          <cell r="D84" t="str">
            <v>Slayer Pro</v>
          </cell>
        </row>
        <row r="85">
          <cell r="C85" t="str">
            <v>Pyriproxifen 5% + Diafenthiuron 25% SE</v>
          </cell>
          <cell r="D85" t="str">
            <v>Slr 525</v>
          </cell>
        </row>
        <row r="86">
          <cell r="C86" t="str">
            <v>Pyriproxifen 5% + Diafenthiuron 25% SE</v>
          </cell>
          <cell r="D86" t="str">
            <v>Slr 525</v>
          </cell>
        </row>
        <row r="87">
          <cell r="C87" t="str">
            <v>Pyriproxifen 5% + Diafenthiuron 25% SE</v>
          </cell>
          <cell r="D87" t="str">
            <v>Slr 525</v>
          </cell>
        </row>
        <row r="88">
          <cell r="C88" t="str">
            <v>Pyriproxifen 5% + Diafenthiuron 25% SE</v>
          </cell>
          <cell r="D88" t="str">
            <v>Slr 525</v>
          </cell>
        </row>
        <row r="89">
          <cell r="C89" t="str">
            <v>Tricyclazole 18% + Tebuconazole 14.4% SC</v>
          </cell>
          <cell r="D89" t="str">
            <v>Trustar</v>
          </cell>
        </row>
        <row r="90">
          <cell r="C90" t="str">
            <v>Tricyclazole 18% + Tebuconazole 14.4% SC</v>
          </cell>
          <cell r="D90" t="str">
            <v>Trustar</v>
          </cell>
        </row>
        <row r="91">
          <cell r="C91" t="str">
            <v>Propiconazole 13.9% + Difenconazole 13.9% EC</v>
          </cell>
          <cell r="D91" t="str">
            <v>Vespa</v>
          </cell>
        </row>
        <row r="92">
          <cell r="C92" t="str">
            <v>Propiconazole 13.9% + Difenconazole 13.9% EC</v>
          </cell>
          <cell r="D92" t="str">
            <v>Vespa</v>
          </cell>
        </row>
        <row r="93">
          <cell r="C93" t="str">
            <v>Propiconazole 13.9% + Difenconazole 13.9% EC</v>
          </cell>
          <cell r="D93" t="str">
            <v>Vespa</v>
          </cell>
        </row>
        <row r="94">
          <cell r="C94" t="str">
            <v>Propiconazole 13.9% + Difenconazole 13.9% EC</v>
          </cell>
          <cell r="D94" t="str">
            <v>Vespa</v>
          </cell>
        </row>
        <row r="95">
          <cell r="C95" t="str">
            <v>Tolfenpyrad 15% EC</v>
          </cell>
          <cell r="D95" t="str">
            <v>Yamraz</v>
          </cell>
        </row>
        <row r="96">
          <cell r="C96" t="str">
            <v>Tolfenpyrad 15% EC</v>
          </cell>
          <cell r="D96" t="str">
            <v>Yamraz</v>
          </cell>
        </row>
        <row r="97">
          <cell r="C97" t="str">
            <v>Tolfenpyrad 15% EC</v>
          </cell>
          <cell r="D97" t="str">
            <v>Yamraz</v>
          </cell>
        </row>
        <row r="98">
          <cell r="C98" t="str">
            <v>Tolfenpyrad 15% EC</v>
          </cell>
          <cell r="D98" t="str">
            <v>Yamraz</v>
          </cell>
        </row>
        <row r="99">
          <cell r="C99" t="str">
            <v>Hexaconazole 5% SC</v>
          </cell>
          <cell r="D99" t="str">
            <v>Alert Plus</v>
          </cell>
        </row>
        <row r="100">
          <cell r="C100" t="str">
            <v>Hexaconazole 5% SC</v>
          </cell>
          <cell r="D100" t="str">
            <v>Alert Plus</v>
          </cell>
        </row>
        <row r="101">
          <cell r="C101" t="str">
            <v>Hexaconazole 5% SC</v>
          </cell>
          <cell r="D101" t="str">
            <v>Alert Plus</v>
          </cell>
        </row>
        <row r="102">
          <cell r="C102" t="str">
            <v>Hexaconazole 5% SC</v>
          </cell>
          <cell r="D102" t="str">
            <v>Alert Plus</v>
          </cell>
        </row>
        <row r="103">
          <cell r="C103" t="str">
            <v>Hexaconazole 5% SC</v>
          </cell>
          <cell r="D103" t="str">
            <v>Alert Plus</v>
          </cell>
        </row>
        <row r="104">
          <cell r="C104" t="str">
            <v>Fenpyroximate 5% EC</v>
          </cell>
          <cell r="D104" t="str">
            <v>Amazer</v>
          </cell>
        </row>
        <row r="105">
          <cell r="C105" t="str">
            <v>Fenpyroximate 5% EC</v>
          </cell>
          <cell r="D105" t="str">
            <v>Amazer</v>
          </cell>
        </row>
        <row r="106">
          <cell r="C106" t="str">
            <v>Fenpyroximate 5% EC</v>
          </cell>
          <cell r="D106" t="str">
            <v>Amazer</v>
          </cell>
        </row>
        <row r="107">
          <cell r="C107" t="str">
            <v>Fenpyroximate 5% EC</v>
          </cell>
          <cell r="D107" t="str">
            <v>Amazer</v>
          </cell>
        </row>
        <row r="108">
          <cell r="C108" t="str">
            <v>Fenpyroximate 5% EC</v>
          </cell>
          <cell r="D108" t="str">
            <v>Amazer</v>
          </cell>
        </row>
        <row r="109">
          <cell r="C109" t="str">
            <v>Propaquizafop 2.5% + Imazethapyr 3.75% ME</v>
          </cell>
          <cell r="D109" t="str">
            <v>Aireth</v>
          </cell>
        </row>
        <row r="110">
          <cell r="C110" t="str">
            <v>Propaquizafop 2.5% + Imazethapyr 3.75% ME</v>
          </cell>
          <cell r="D110" t="str">
            <v>Aireth</v>
          </cell>
        </row>
        <row r="111">
          <cell r="C111" t="str">
            <v>Propaquizafop 2.5% + Imazethapyr 3.75% ME</v>
          </cell>
          <cell r="D111" t="str">
            <v>Aireth</v>
          </cell>
        </row>
        <row r="112">
          <cell r="C112" t="str">
            <v>Chlorpyrifos 50% EC</v>
          </cell>
          <cell r="D112" t="str">
            <v>Bosh</v>
          </cell>
        </row>
        <row r="113">
          <cell r="C113" t="str">
            <v>Chlorpyrifos 50% EC</v>
          </cell>
          <cell r="D113" t="str">
            <v>Bosh</v>
          </cell>
        </row>
        <row r="114">
          <cell r="C114" t="str">
            <v>Chlorpyrifos 50% EC</v>
          </cell>
          <cell r="D114" t="str">
            <v>Bosh</v>
          </cell>
        </row>
        <row r="115">
          <cell r="C115" t="str">
            <v>Chlorpyrifos 50% EC</v>
          </cell>
          <cell r="D115" t="str">
            <v>Bosh</v>
          </cell>
        </row>
        <row r="116">
          <cell r="C116" t="str">
            <v>Chlorpyrifos 50% EC</v>
          </cell>
          <cell r="D116" t="str">
            <v>Bosh</v>
          </cell>
        </row>
        <row r="117">
          <cell r="C117" t="str">
            <v>Pyrazosulfuron Ethyl 10% WP</v>
          </cell>
          <cell r="D117" t="str">
            <v>Block</v>
          </cell>
        </row>
        <row r="118">
          <cell r="C118" t="str">
            <v>Pyrazosulfuron Ethyl 10% WP</v>
          </cell>
          <cell r="D118" t="str">
            <v>Block</v>
          </cell>
        </row>
        <row r="119">
          <cell r="C119" t="str">
            <v>Cartap Hydrochloride 4% GR</v>
          </cell>
          <cell r="D119" t="str">
            <v>Carban GR</v>
          </cell>
        </row>
        <row r="120">
          <cell r="C120" t="str">
            <v>Cartap Hydrochloride 4% GR</v>
          </cell>
          <cell r="D120" t="str">
            <v>Carban GR</v>
          </cell>
        </row>
        <row r="121">
          <cell r="C121" t="str">
            <v>Acephate 75% SP</v>
          </cell>
          <cell r="D121" t="str">
            <v>Chettak</v>
          </cell>
        </row>
        <row r="122">
          <cell r="C122" t="str">
            <v>Acephate 75% SP</v>
          </cell>
          <cell r="D122" t="str">
            <v>Chettak</v>
          </cell>
        </row>
        <row r="123">
          <cell r="C123" t="str">
            <v>Acephate 75% SP</v>
          </cell>
          <cell r="D123" t="str">
            <v>Chettak</v>
          </cell>
        </row>
        <row r="124">
          <cell r="C124" t="str">
            <v>Acephate 75% SP</v>
          </cell>
          <cell r="D124" t="str">
            <v>Chettak</v>
          </cell>
        </row>
        <row r="125">
          <cell r="C125" t="str">
            <v>Acephate 75% SP</v>
          </cell>
          <cell r="D125" t="str">
            <v>Chettak</v>
          </cell>
        </row>
        <row r="126">
          <cell r="C126" t="str">
            <v>Chlorpyrifos 20% EC</v>
          </cell>
          <cell r="D126" t="str">
            <v>Chlorocil</v>
          </cell>
        </row>
        <row r="127">
          <cell r="C127" t="str">
            <v>Chlorpyrifos 20% EC</v>
          </cell>
          <cell r="D127" t="str">
            <v>Chlorocil</v>
          </cell>
        </row>
        <row r="128">
          <cell r="C128" t="str">
            <v>Chlorpyrifos 20% EC</v>
          </cell>
          <cell r="D128" t="str">
            <v>Chlorocil</v>
          </cell>
        </row>
        <row r="129">
          <cell r="C129" t="str">
            <v>Chlorpyrifos 20% EC</v>
          </cell>
          <cell r="D129" t="str">
            <v>Chlorocil</v>
          </cell>
        </row>
        <row r="130">
          <cell r="C130" t="str">
            <v>Chlorpyrifos 20% EC</v>
          </cell>
          <cell r="D130" t="str">
            <v>Chlorocil</v>
          </cell>
        </row>
        <row r="131">
          <cell r="C131" t="str">
            <v>Chlorpyrifos 20% EC</v>
          </cell>
          <cell r="D131" t="str">
            <v>Chlorocil</v>
          </cell>
        </row>
        <row r="132">
          <cell r="C132" t="str">
            <v>Chlorpyrifos 20% EC</v>
          </cell>
          <cell r="D132" t="str">
            <v>Chlorocil</v>
          </cell>
        </row>
        <row r="133">
          <cell r="C133" t="str">
            <v>Chlorpyrifos 50% + Cypermethrin 5% EC</v>
          </cell>
          <cell r="D133" t="str">
            <v>Cyklon</v>
          </cell>
        </row>
        <row r="134">
          <cell r="C134" t="str">
            <v>Chlorpyrifos 50% + Cypermethrin 5% EC</v>
          </cell>
          <cell r="D134" t="str">
            <v>Cyklon</v>
          </cell>
        </row>
        <row r="135">
          <cell r="C135" t="str">
            <v>Chlorpyrifos 50% + Cypermethrin 5% EC</v>
          </cell>
          <cell r="D135" t="str">
            <v>Cyklon</v>
          </cell>
        </row>
        <row r="136">
          <cell r="C136" t="str">
            <v>Chlorpyrifos 50% + Cypermethrin 5% EC</v>
          </cell>
          <cell r="D136" t="str">
            <v>Cyklon</v>
          </cell>
        </row>
        <row r="137">
          <cell r="C137" t="str">
            <v>Chlorpyrifos 50% + Cypermethrin 5% EC</v>
          </cell>
          <cell r="D137" t="str">
            <v>Cyklon</v>
          </cell>
        </row>
        <row r="138">
          <cell r="C138" t="str">
            <v>Diafenthiuron 50% WP</v>
          </cell>
          <cell r="D138" t="str">
            <v>Declare</v>
          </cell>
        </row>
        <row r="139">
          <cell r="C139" t="str">
            <v>Diafenthiuron 50% WP</v>
          </cell>
          <cell r="D139" t="str">
            <v>Declare</v>
          </cell>
        </row>
        <row r="140">
          <cell r="C140" t="str">
            <v>Diafenthiuron 50% WP</v>
          </cell>
          <cell r="D140" t="str">
            <v>Declare</v>
          </cell>
        </row>
        <row r="141">
          <cell r="C141" t="str">
            <v>Azoxystrobin 11% EW + Tebuconazole 18.3% SC</v>
          </cell>
          <cell r="D141" t="str">
            <v>Esteem</v>
          </cell>
        </row>
        <row r="142">
          <cell r="C142" t="str">
            <v>Azoxystrobin 11% EW + Tebuconazole 18.3% SC</v>
          </cell>
          <cell r="D142" t="str">
            <v>Esteem</v>
          </cell>
        </row>
        <row r="143">
          <cell r="C143" t="str">
            <v>Azoxystrobin 11% EW + Tebuconazole 18.3% SC</v>
          </cell>
          <cell r="D143" t="str">
            <v>Esteem</v>
          </cell>
        </row>
        <row r="144">
          <cell r="C144" t="str">
            <v>Azoxystrobin 11% EW + Tebuconazole 18.3% SC</v>
          </cell>
          <cell r="D144" t="str">
            <v>Esteem</v>
          </cell>
        </row>
        <row r="145">
          <cell r="C145" t="str">
            <v>Propiconazole 25% EC</v>
          </cell>
          <cell r="D145" t="str">
            <v>Final</v>
          </cell>
        </row>
        <row r="146">
          <cell r="C146" t="str">
            <v>Propiconazole 25% EC</v>
          </cell>
          <cell r="D146" t="str">
            <v>Final</v>
          </cell>
        </row>
        <row r="147">
          <cell r="C147" t="str">
            <v>Propiconazole 25% EC</v>
          </cell>
          <cell r="D147" t="str">
            <v>Final</v>
          </cell>
        </row>
        <row r="148">
          <cell r="C148" t="str">
            <v>Propiconazole 25% EC</v>
          </cell>
          <cell r="D148" t="str">
            <v>Final</v>
          </cell>
        </row>
        <row r="149">
          <cell r="C149" t="str">
            <v>2,4 D Amine Salt 58% SL</v>
          </cell>
          <cell r="D149" t="str">
            <v>Cross</v>
          </cell>
        </row>
        <row r="150">
          <cell r="C150" t="str">
            <v>2,4 D Amine Salt 58% SL</v>
          </cell>
          <cell r="D150" t="str">
            <v>Cross</v>
          </cell>
        </row>
        <row r="151">
          <cell r="C151" t="str">
            <v>2,4 D Amine Salt 58% SL</v>
          </cell>
          <cell r="D151" t="str">
            <v>Cross</v>
          </cell>
        </row>
        <row r="152">
          <cell r="C152" t="str">
            <v>2,4 D Amine Salt 58% SL</v>
          </cell>
          <cell r="D152" t="str">
            <v>Cross</v>
          </cell>
        </row>
        <row r="153">
          <cell r="C153" t="str">
            <v>Glufisonate Ammonium 13.5% SL</v>
          </cell>
          <cell r="D153" t="str">
            <v>Granade</v>
          </cell>
        </row>
        <row r="154">
          <cell r="C154" t="str">
            <v>Glufisonate Ammonium 13.5% SL</v>
          </cell>
          <cell r="D154" t="str">
            <v>Granade</v>
          </cell>
        </row>
        <row r="155">
          <cell r="C155" t="str">
            <v>Glufisonate Ammonium 13.5% SL</v>
          </cell>
          <cell r="D155" t="str">
            <v>Granade</v>
          </cell>
        </row>
        <row r="156">
          <cell r="C156" t="str">
            <v>Carbendazim 12% + Mancozeb 63% WP</v>
          </cell>
          <cell r="D156" t="str">
            <v>Mercury</v>
          </cell>
        </row>
        <row r="157">
          <cell r="C157" t="str">
            <v>Carbendazim 12% + Mancozeb 63% WP</v>
          </cell>
          <cell r="D157" t="str">
            <v>Mercury</v>
          </cell>
        </row>
        <row r="158">
          <cell r="C158" t="str">
            <v>Carbendazim 12% + Mancozeb 63% WP</v>
          </cell>
          <cell r="D158" t="str">
            <v>Mercury</v>
          </cell>
        </row>
        <row r="159">
          <cell r="C159" t="str">
            <v>Carbendazim 12% + Mancozeb 63% WP</v>
          </cell>
          <cell r="D159" t="str">
            <v>Mercury</v>
          </cell>
        </row>
        <row r="160">
          <cell r="C160" t="str">
            <v>Carbendazim 12% + Mancozeb 63% WP</v>
          </cell>
          <cell r="D160" t="str">
            <v>Mercury</v>
          </cell>
        </row>
        <row r="161">
          <cell r="C161" t="str">
            <v>Oxyfluorfen 23.5% EC</v>
          </cell>
          <cell r="D161" t="str">
            <v>Over</v>
          </cell>
        </row>
        <row r="162">
          <cell r="C162" t="str">
            <v>Oxyfluorfen 23.5% EC</v>
          </cell>
          <cell r="D162" t="str">
            <v>Over</v>
          </cell>
        </row>
        <row r="163">
          <cell r="C163" t="str">
            <v>Oxyfluorfen 23.5% EC</v>
          </cell>
          <cell r="D163" t="str">
            <v>Over</v>
          </cell>
        </row>
        <row r="164">
          <cell r="C164" t="str">
            <v>Oxyfluorfen 23.5% EC</v>
          </cell>
          <cell r="D164" t="str">
            <v>Over</v>
          </cell>
        </row>
        <row r="165">
          <cell r="C165" t="str">
            <v>Oxyfluorfen 23.5% EC</v>
          </cell>
          <cell r="D165" t="str">
            <v>Over</v>
          </cell>
        </row>
        <row r="166">
          <cell r="C166" t="str">
            <v>Pendimethalin 38.7% CS</v>
          </cell>
          <cell r="D166" t="str">
            <v>Pendi Rich</v>
          </cell>
        </row>
        <row r="167">
          <cell r="C167" t="str">
            <v>Pendimethalin 38.7% CS</v>
          </cell>
          <cell r="D167" t="str">
            <v>Pendi Rich</v>
          </cell>
        </row>
        <row r="168">
          <cell r="C168" t="str">
            <v>Pendimethalin 38.7% CS</v>
          </cell>
          <cell r="D168" t="str">
            <v>Pendi Rich</v>
          </cell>
        </row>
        <row r="169">
          <cell r="C169" t="str">
            <v>Pendimethalin 30% EC</v>
          </cell>
          <cell r="D169" t="str">
            <v>Pendifix</v>
          </cell>
        </row>
        <row r="170">
          <cell r="C170" t="str">
            <v>Pendimethalin 30% EC</v>
          </cell>
          <cell r="D170" t="str">
            <v>Pendifix</v>
          </cell>
        </row>
        <row r="171">
          <cell r="C171" t="str">
            <v>Pendimethalin 30% EC</v>
          </cell>
          <cell r="D171" t="str">
            <v>Pendifix</v>
          </cell>
        </row>
        <row r="172">
          <cell r="C172" t="str">
            <v>Pendimethalin 30% EC</v>
          </cell>
          <cell r="D172" t="str">
            <v>Pendifix</v>
          </cell>
        </row>
        <row r="173">
          <cell r="C173" t="str">
            <v>Bifenthrin 10% EC</v>
          </cell>
          <cell r="D173" t="str">
            <v>Player</v>
          </cell>
        </row>
        <row r="174">
          <cell r="C174" t="str">
            <v>Bifenthrin 10% EC</v>
          </cell>
          <cell r="D174" t="str">
            <v>Player</v>
          </cell>
        </row>
        <row r="175">
          <cell r="C175" t="str">
            <v>Bifenthrin 10% EC</v>
          </cell>
          <cell r="D175" t="str">
            <v>Player</v>
          </cell>
        </row>
        <row r="176">
          <cell r="C176" t="str">
            <v>Bifenthrin 10% EC</v>
          </cell>
          <cell r="D176" t="str">
            <v>Player</v>
          </cell>
        </row>
        <row r="177">
          <cell r="C177" t="str">
            <v>Bifenthrin 10% EC</v>
          </cell>
          <cell r="D177" t="str">
            <v>Player</v>
          </cell>
        </row>
        <row r="178">
          <cell r="C178" t="str">
            <v>Sulpher 65% + Tebuconazole 10% WG</v>
          </cell>
          <cell r="D178" t="str">
            <v>Pledge</v>
          </cell>
        </row>
        <row r="179">
          <cell r="C179" t="str">
            <v>Sulpher 65% + Tebuconazole 10% WG</v>
          </cell>
          <cell r="D179" t="str">
            <v>Pledge</v>
          </cell>
        </row>
        <row r="180">
          <cell r="C180" t="str">
            <v>Sulpher 65% + Tebuconazole 10% WG</v>
          </cell>
          <cell r="D180" t="str">
            <v>Pledge</v>
          </cell>
        </row>
        <row r="181">
          <cell r="C181" t="str">
            <v>Fipronil 0.3% GR</v>
          </cell>
          <cell r="D181" t="str">
            <v>Refree GR</v>
          </cell>
        </row>
        <row r="182">
          <cell r="C182" t="str">
            <v>Fipronil 0.3% GR</v>
          </cell>
          <cell r="D182" t="str">
            <v>Refree GR</v>
          </cell>
        </row>
        <row r="183">
          <cell r="C183" t="str">
            <v>Fipronil 5% SC</v>
          </cell>
          <cell r="D183" t="str">
            <v>Refree</v>
          </cell>
        </row>
        <row r="184">
          <cell r="C184" t="str">
            <v>Fipronil 5% SC</v>
          </cell>
          <cell r="D184" t="str">
            <v>Refree</v>
          </cell>
        </row>
        <row r="185">
          <cell r="C185" t="str">
            <v>Fipronil 5% SC</v>
          </cell>
          <cell r="D185" t="str">
            <v>Refree</v>
          </cell>
        </row>
        <row r="186">
          <cell r="C186" t="str">
            <v>Fipronil 5% SC</v>
          </cell>
          <cell r="D186" t="str">
            <v>Refree</v>
          </cell>
        </row>
        <row r="187">
          <cell r="C187" t="str">
            <v>Fipronil 5% SC</v>
          </cell>
          <cell r="D187" t="str">
            <v>Refree</v>
          </cell>
        </row>
        <row r="188">
          <cell r="C188" t="str">
            <v>Diafenthiuron 50% WP</v>
          </cell>
          <cell r="D188" t="str">
            <v>Ruby</v>
          </cell>
        </row>
        <row r="189">
          <cell r="C189" t="str">
            <v>Diafenthiuron 50% WP</v>
          </cell>
          <cell r="D189" t="str">
            <v>Ruby</v>
          </cell>
        </row>
        <row r="190">
          <cell r="C190" t="str">
            <v>Diafenthiuron 50% WP</v>
          </cell>
          <cell r="D190" t="str">
            <v>Ruby</v>
          </cell>
        </row>
        <row r="191">
          <cell r="C191" t="str">
            <v>Diafenthiuron 50% WP</v>
          </cell>
          <cell r="D191" t="str">
            <v>Ruby</v>
          </cell>
        </row>
        <row r="192">
          <cell r="C192" t="str">
            <v>Glyphosate Amonium salt 71% SG</v>
          </cell>
          <cell r="D192" t="str">
            <v>Runout 71</v>
          </cell>
        </row>
        <row r="193">
          <cell r="C193" t="str">
            <v>Glyphosate Amonium salt 71% SG</v>
          </cell>
          <cell r="D193" t="str">
            <v>Runout 71</v>
          </cell>
        </row>
        <row r="194">
          <cell r="C194" t="str">
            <v>Glyphosate 41% SL</v>
          </cell>
          <cell r="D194" t="str">
            <v>Runout</v>
          </cell>
        </row>
        <row r="195">
          <cell r="C195" t="str">
            <v>Glyphosate 41% SL</v>
          </cell>
          <cell r="D195" t="str">
            <v>Runout</v>
          </cell>
        </row>
        <row r="196">
          <cell r="C196" t="str">
            <v>Glyphosate 41% SL</v>
          </cell>
          <cell r="D196" t="str">
            <v>Runout</v>
          </cell>
        </row>
        <row r="197">
          <cell r="C197" t="str">
            <v>Glyphosate 41% SL</v>
          </cell>
          <cell r="D197" t="str">
            <v>Runout</v>
          </cell>
        </row>
        <row r="198">
          <cell r="C198" t="str">
            <v>Emamectin Benzoate 5% SG</v>
          </cell>
          <cell r="D198" t="str">
            <v>Safari</v>
          </cell>
        </row>
        <row r="199">
          <cell r="C199" t="str">
            <v>Emamectin Benzoate 5% SG</v>
          </cell>
          <cell r="D199" t="str">
            <v>Safari</v>
          </cell>
        </row>
        <row r="200">
          <cell r="C200" t="str">
            <v>Emamectin Benzoate 5% SG</v>
          </cell>
          <cell r="D200" t="str">
            <v>Safari</v>
          </cell>
        </row>
        <row r="201">
          <cell r="C201" t="str">
            <v>Emamectin Benzoate 5% SG</v>
          </cell>
          <cell r="D201" t="str">
            <v>Safari</v>
          </cell>
        </row>
        <row r="202">
          <cell r="C202" t="str">
            <v>Emamectin Benzoate 5% SG</v>
          </cell>
          <cell r="D202" t="str">
            <v>Safari</v>
          </cell>
        </row>
        <row r="203">
          <cell r="C203" t="str">
            <v>Emamectin Benzoate 5% SG</v>
          </cell>
          <cell r="D203" t="str">
            <v>Safari</v>
          </cell>
        </row>
        <row r="204">
          <cell r="C204" t="str">
            <v>Emamectin Benzoate 5% SG</v>
          </cell>
          <cell r="D204" t="str">
            <v>Safari</v>
          </cell>
        </row>
        <row r="205">
          <cell r="C205" t="str">
            <v>Lambda Cyhalothrin 5% EC</v>
          </cell>
          <cell r="D205" t="str">
            <v>Santri</v>
          </cell>
        </row>
        <row r="206">
          <cell r="C206" t="str">
            <v>Lambda Cyhalothrin 5% EC</v>
          </cell>
          <cell r="D206" t="str">
            <v>Santri</v>
          </cell>
        </row>
        <row r="207">
          <cell r="C207" t="str">
            <v>Lambda Cyhalothrin 5% EC</v>
          </cell>
          <cell r="D207" t="str">
            <v>Santri</v>
          </cell>
        </row>
        <row r="208">
          <cell r="C208" t="str">
            <v>Lambda Cyhalothrin 5% EC</v>
          </cell>
          <cell r="D208" t="str">
            <v>Santri</v>
          </cell>
        </row>
        <row r="209">
          <cell r="C209" t="str">
            <v>Lambda Cyhalothrin 5% EC</v>
          </cell>
          <cell r="D209" t="str">
            <v>Santri</v>
          </cell>
        </row>
        <row r="210">
          <cell r="C210" t="str">
            <v>Profenophos 40% + Cypermethrin 4% EC</v>
          </cell>
          <cell r="D210" t="str">
            <v>Sarpanch</v>
          </cell>
        </row>
        <row r="211">
          <cell r="C211" t="str">
            <v>Profenophos 40% + Cypermethrin 4% EC</v>
          </cell>
          <cell r="D211" t="str">
            <v>Sarpanch</v>
          </cell>
        </row>
        <row r="212">
          <cell r="C212" t="str">
            <v>Profenophos 40% + Cypermethrin 4% EC</v>
          </cell>
          <cell r="D212" t="str">
            <v>Sarpanch</v>
          </cell>
        </row>
        <row r="213">
          <cell r="C213" t="str">
            <v>Profenophos 40% + Cypermethrin 4% EC</v>
          </cell>
          <cell r="D213" t="str">
            <v>Sarpanch</v>
          </cell>
        </row>
        <row r="214">
          <cell r="C214" t="str">
            <v>Profenophos 40% + Cypermethrin 4% EC</v>
          </cell>
          <cell r="D214" t="str">
            <v>Sarpanch</v>
          </cell>
        </row>
        <row r="215">
          <cell r="C215" t="str">
            <v>Pretilachlor 50% EC</v>
          </cell>
          <cell r="D215" t="str">
            <v>Sickle</v>
          </cell>
        </row>
        <row r="216">
          <cell r="C216" t="str">
            <v>Pretilachlor 50% EC</v>
          </cell>
          <cell r="D216" t="str">
            <v>Sickle</v>
          </cell>
        </row>
        <row r="217">
          <cell r="C217" t="str">
            <v>Pretilachlor 50% EC</v>
          </cell>
          <cell r="D217" t="str">
            <v>Sickle</v>
          </cell>
        </row>
        <row r="218">
          <cell r="C218" t="str">
            <v>Pretilachlor 50% EC</v>
          </cell>
          <cell r="D218" t="str">
            <v>Sickle</v>
          </cell>
        </row>
        <row r="219">
          <cell r="C219" t="str">
            <v>Pretilachlor 50% EC</v>
          </cell>
          <cell r="D219" t="str">
            <v>Sickle</v>
          </cell>
        </row>
        <row r="220">
          <cell r="C220" t="str">
            <v>Profenophos 50% EC</v>
          </cell>
          <cell r="D220" t="str">
            <v>Simcron</v>
          </cell>
        </row>
        <row r="221">
          <cell r="C221" t="str">
            <v>Profenophos 50% EC</v>
          </cell>
          <cell r="D221" t="str">
            <v>Simcron</v>
          </cell>
        </row>
        <row r="222">
          <cell r="C222" t="str">
            <v>Profenophos 50% EC</v>
          </cell>
          <cell r="D222" t="str">
            <v>Simcron</v>
          </cell>
        </row>
        <row r="223">
          <cell r="C223" t="str">
            <v>Profenophos 50% EC</v>
          </cell>
          <cell r="D223" t="str">
            <v>Simcron</v>
          </cell>
        </row>
        <row r="224">
          <cell r="C224" t="str">
            <v>Profenophos 50% EC</v>
          </cell>
          <cell r="D224" t="str">
            <v>Simcron</v>
          </cell>
        </row>
        <row r="225">
          <cell r="C225" t="str">
            <v>Thiamethoxam 25% WG</v>
          </cell>
          <cell r="D225" t="str">
            <v>Slayer</v>
          </cell>
        </row>
        <row r="226">
          <cell r="C226" t="str">
            <v>Thiamethoxam 25% WG</v>
          </cell>
          <cell r="D226" t="str">
            <v>Slayer</v>
          </cell>
        </row>
        <row r="227">
          <cell r="C227" t="str">
            <v>Thiamethoxam 25% WG</v>
          </cell>
          <cell r="D227" t="str">
            <v>Slayer</v>
          </cell>
        </row>
        <row r="228">
          <cell r="C228" t="str">
            <v>Thiamethoxam 25% WG</v>
          </cell>
          <cell r="D228" t="str">
            <v>Slayer</v>
          </cell>
        </row>
        <row r="229">
          <cell r="C229" t="str">
            <v>Thiamethoxam 25% WG</v>
          </cell>
          <cell r="D229" t="str">
            <v>Slayer</v>
          </cell>
        </row>
        <row r="230">
          <cell r="C230" t="str">
            <v>Thiamethoxam 25% WG</v>
          </cell>
          <cell r="D230" t="str">
            <v>Slayer</v>
          </cell>
        </row>
        <row r="231">
          <cell r="C231" t="str">
            <v>Paraquat Dichloride 24% SL</v>
          </cell>
          <cell r="D231" t="str">
            <v>Seizure</v>
          </cell>
        </row>
        <row r="232">
          <cell r="C232" t="str">
            <v>Paraquat Dichloride 24% SL</v>
          </cell>
          <cell r="D232" t="str">
            <v>Seizure</v>
          </cell>
        </row>
        <row r="233">
          <cell r="C233" t="str">
            <v>Paraquat Dichloride 24% SL</v>
          </cell>
          <cell r="D233" t="str">
            <v>Seizure</v>
          </cell>
        </row>
        <row r="234">
          <cell r="C234" t="str">
            <v>Sulpher 80% WG</v>
          </cell>
          <cell r="D234" t="str">
            <v>Sulfin</v>
          </cell>
        </row>
        <row r="235">
          <cell r="C235" t="str">
            <v>Sulpher 80% WG</v>
          </cell>
          <cell r="D235" t="str">
            <v>Sulfin</v>
          </cell>
        </row>
        <row r="236">
          <cell r="C236" t="str">
            <v>Sulpher 80% WG</v>
          </cell>
          <cell r="D236" t="str">
            <v>Sulfin</v>
          </cell>
        </row>
        <row r="237">
          <cell r="C237" t="str">
            <v>Clodinafop Propargyl 15% WP</v>
          </cell>
          <cell r="D237" t="str">
            <v>Spear</v>
          </cell>
        </row>
        <row r="238">
          <cell r="C238" t="str">
            <v>Pendimethalin 30% + Imazethapyr 2% EC</v>
          </cell>
          <cell r="D238" t="str">
            <v>Style Plus</v>
          </cell>
        </row>
        <row r="239">
          <cell r="C239" t="str">
            <v>Pendimethalin 30% + Imazethapyr 2% EC</v>
          </cell>
          <cell r="D239" t="str">
            <v>Style Plus</v>
          </cell>
        </row>
        <row r="240">
          <cell r="C240" t="str">
            <v>Imazethapyr 10% SL</v>
          </cell>
          <cell r="D240" t="str">
            <v>Style</v>
          </cell>
        </row>
        <row r="241">
          <cell r="C241" t="str">
            <v>Imazethapyr 10% SL</v>
          </cell>
          <cell r="D241" t="str">
            <v>Style</v>
          </cell>
        </row>
        <row r="242">
          <cell r="C242" t="str">
            <v>Imazethapyr 10% SL</v>
          </cell>
          <cell r="D242" t="str">
            <v>Style</v>
          </cell>
        </row>
        <row r="243">
          <cell r="C243" t="str">
            <v>Topramezone 33.6 SC</v>
          </cell>
          <cell r="D243" t="str">
            <v>Torch</v>
          </cell>
        </row>
        <row r="244">
          <cell r="C244" t="str">
            <v>Topramezone 33.6 SC</v>
          </cell>
          <cell r="D244" t="str">
            <v>Torch</v>
          </cell>
        </row>
        <row r="245">
          <cell r="C245" t="str">
            <v>Ametryne 80% WDG</v>
          </cell>
          <cell r="D245" t="str">
            <v>Tamper</v>
          </cell>
        </row>
        <row r="246">
          <cell r="C246" t="str">
            <v>Ametryne 80% WDG</v>
          </cell>
          <cell r="D246" t="str">
            <v>Tamper</v>
          </cell>
        </row>
        <row r="247">
          <cell r="C247" t="str">
            <v>Tembotrione 34.4% SC</v>
          </cell>
          <cell r="D247" t="str">
            <v>Topkill</v>
          </cell>
        </row>
        <row r="248">
          <cell r="C248" t="str">
            <v>Tembotrione 34.4% SC</v>
          </cell>
          <cell r="D248" t="str">
            <v>Topkill</v>
          </cell>
        </row>
        <row r="249">
          <cell r="C249" t="str">
            <v>Metribuzin 70% WP</v>
          </cell>
          <cell r="D249" t="str">
            <v>Verdict</v>
          </cell>
        </row>
        <row r="250">
          <cell r="C250" t="str">
            <v>Metribuzin 70% WP</v>
          </cell>
          <cell r="D250" t="str">
            <v>Verdict</v>
          </cell>
        </row>
        <row r="251">
          <cell r="C251" t="str">
            <v>Metribuzin 70% WP</v>
          </cell>
          <cell r="D251" t="str">
            <v>Verdict</v>
          </cell>
        </row>
        <row r="252">
          <cell r="C252" t="str">
            <v>Bio Stimulent</v>
          </cell>
          <cell r="D252" t="str">
            <v>Well Don</v>
          </cell>
        </row>
        <row r="253">
          <cell r="C253" t="str">
            <v>Bio Stimulent</v>
          </cell>
          <cell r="D253" t="str">
            <v>Well Don</v>
          </cell>
        </row>
        <row r="254">
          <cell r="C254" t="str">
            <v>Bio Stimulent</v>
          </cell>
          <cell r="D254" t="str">
            <v>Well Don</v>
          </cell>
        </row>
        <row r="255">
          <cell r="C255" t="str">
            <v>Atrazine 50% WP</v>
          </cell>
          <cell r="D255" t="str">
            <v>Xtrazine</v>
          </cell>
        </row>
        <row r="256">
          <cell r="C256" t="str">
            <v>Atrazine 50% WP</v>
          </cell>
          <cell r="D256" t="str">
            <v>Xtrazine</v>
          </cell>
        </row>
        <row r="257">
          <cell r="C257" t="str">
            <v>Quizalofop Ethyl 5% EC</v>
          </cell>
          <cell r="D257" t="str">
            <v>Zenblade</v>
          </cell>
        </row>
        <row r="258">
          <cell r="C258" t="str">
            <v>Quizalofop Ethyl 5% EC</v>
          </cell>
          <cell r="D258" t="str">
            <v>Zenblade</v>
          </cell>
        </row>
        <row r="259">
          <cell r="C259" t="str">
            <v>Quizalofop Ethyl 5% EC</v>
          </cell>
          <cell r="D259" t="str">
            <v>Zenblade</v>
          </cell>
        </row>
        <row r="260">
          <cell r="C260" t="str">
            <v>Quizalofop Ethyl 5% EC</v>
          </cell>
          <cell r="D260" t="str">
            <v>Zenblade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hna Balaji" refreshedDate="45970.421879050926" createdVersion="8" refreshedVersion="8" minRefreshableVersion="3" recordCount="43" xr:uid="{7D4B84BC-1875-41EB-B4A4-E052D0DAE673}">
  <cacheSource type="worksheet">
    <worksheetSource ref="A4:H150" sheet="Master"/>
  </cacheSource>
  <cacheFields count="8">
    <cacheField name="Company" numFmtId="0">
      <sharedItems containsBlank="1" count="9">
        <s v="#CALC!"/>
        <m/>
        <s v="Sandhya"/>
        <s v="Agastya"/>
        <s v="Nakasa"/>
        <s v="Axis" u="1"/>
        <s v="Ichiban" u="1"/>
        <s v="#SPILL!" u="1"/>
        <e v="#REF!" u="1"/>
      </sharedItems>
    </cacheField>
    <cacheField name="Technical" numFmtId="0">
      <sharedItems containsBlank="1"/>
    </cacheField>
    <cacheField name="Product Name" numFmtId="0">
      <sharedItems containsBlank="1"/>
    </cacheField>
    <cacheField name="Packing" numFmtId="0">
      <sharedItems containsBlank="1" count="41">
        <m/>
        <s v="5000 ML"/>
        <s v="1000 ML"/>
        <s v="500 ML"/>
        <s v="250 ML"/>
        <s v="100 ML"/>
        <s v="20000 ML" u="1"/>
        <s v="1000 GMS" u="1"/>
        <s v="500 GMS" u="1"/>
        <s v="250 GMS" u="1"/>
        <s v="100 GMS" u="1"/>
        <s v="20 GMS" u="1"/>
        <s v="400 ML" u="1"/>
        <s v="50 GMS" u="1"/>
        <s v="200 ML" u="1"/>
        <s v="50 ML" u="1"/>
        <s v="1 KG" u="1"/>
        <s v="5 LTR" u="1"/>
        <s v="1 LTR" u="1"/>
        <s v="1 KG_BOX" u="1"/>
        <s v="20 GMS_BOX" u="1"/>
        <s v="500 GMS_BOX" u="1"/>
        <s v="100 GMS_BOX" u="1"/>
        <s v="250 GMS_BOX" u="1"/>
        <s v="50 GMS_BOX" u="1"/>
        <s v="20 GMS_DRM" u="1"/>
        <s v="50 GMS_DRM" u="1"/>
        <s v="1 KG_PKT" u="1"/>
        <s v="100 GMS_PKT" u="1"/>
        <s v="500 GMS_PKT" u="1"/>
        <s v="250 GMS_PKT" u="1"/>
        <s v="20 LTR" u="1"/>
        <s v="10 ML" u="1"/>
        <s v="10 GMS" u="1"/>
        <s v="10 GM" u="1"/>
        <s v="600 ML" u="1"/>
        <s v="300 ML" u="1"/>
        <s v="150 ML" u="1"/>
        <s v="60 ML" u="1"/>
        <s v="30 ML" u="1"/>
        <s v="4 KG" u="1"/>
      </sharedItems>
    </cacheField>
    <cacheField name="Unit Price" numFmtId="1">
      <sharedItems containsString="0" containsBlank="1" containsNumber="1" minValue="49.3476" maxValue="3263"/>
    </cacheField>
    <cacheField name="GST %" numFmtId="0">
      <sharedItems containsString="0" containsBlank="1" containsNumber="1" containsInteger="1" minValue="18" maxValue="18"/>
    </cacheField>
    <cacheField name="GST" numFmtId="1">
      <sharedItems containsString="0" containsBlank="1" containsNumber="1" minValue="10.8324" maxValue="587.34"/>
    </cacheField>
    <cacheField name="With GST" numFmtId="1">
      <sharedItems containsString="0" containsBlank="1" containsNumber="1" minValue="11.42" maxValue="19122.599999999999" count="401">
        <m/>
        <n v="2666.8"/>
        <n v="541.62"/>
        <n v="280.25"/>
        <n v="145.44"/>
        <n v="60.18"/>
        <n v="75.637999999999991"/>
        <n v="673.78"/>
        <n v="3339.4"/>
        <n v="343.97"/>
        <n v="179.065"/>
        <n v="102.66"/>
        <n v="220.66"/>
        <n v="409.46"/>
        <n v="781.16"/>
        <n v="3850.34"/>
        <n v="2542.9" u="1"/>
        <n v="516.84" u="1"/>
        <n v="267.86" u="1"/>
        <n v="139.24" u="1"/>
        <n v="57.7" u="1"/>
        <n v="308.57" u="1"/>
        <n v="599.44000000000005" u="1"/>
        <n v="12437.2" u="1"/>
        <n v="621.86" u="1"/>
        <n v="3079.8" u="1"/>
        <n v="318.01" u="1"/>
        <n v="166.08500000000001" u="1"/>
        <n v="103.84" u="1"/>
        <n v="207.68" u="1"/>
        <n v="382.32" u="1"/>
        <n v="738.68" u="1"/>
        <n v="3637.94" u="1"/>
        <n v="1250.8" u="1"/>
        <n v="258.42" u="1"/>
        <n v="136.29" u="1"/>
        <n v="73.459999999999994" u="1"/>
        <n v="31.51" u="1"/>
        <n v="41.536000000000001" u="1"/>
        <n v="332.76" u="1"/>
        <n v="1545.8" u="1"/>
        <n v="173.46" u="1"/>
        <n v="94.4" u="1"/>
        <n v="395.3" u="1"/>
        <n v="203.55" u="1"/>
        <n v="110.625" u="1"/>
        <n v="48.97" u="1"/>
        <n v="298.54000000000002" u="1"/>
        <n v="158.71" u="1"/>
        <n v="84.67" u="1"/>
        <n v="35.869999999999997" u="1"/>
        <n v="467.28" u="1"/>
        <n v="239.54" u="1"/>
        <n v="126.25999999999999" u="1"/>
        <n v="53.1" u="1"/>
        <n v="80.239999999999995" u="1"/>
        <n v="165.2" u="1"/>
        <n v="306.8" u="1"/>
        <n v="584.1" u="1"/>
        <n v="531" u="1"/>
        <n v="271.39999999999998" u="1"/>
        <n v="144.55000000000001" u="1"/>
        <n v="62.54" u="1"/>
        <n v="15.34" u="1"/>
        <n v="362.26" u="1"/>
        <n v="190.57" u="1"/>
        <n v="100.6" u="1"/>
        <n v="42.24" u="1"/>
        <n v="269.04000000000002" u="1"/>
        <n v="514.48" u="1"/>
        <n v="534.54" u="1"/>
        <n v="273.76" u="1"/>
        <n v="142.78" u="1"/>
        <n v="58.173999999999992" u="1"/>
        <n v="82.6" u="1"/>
        <n v="182.9" u="1"/>
        <n v="342.2" u="1"/>
        <n v="666.7" u="1"/>
        <n v="2212.5" u="1"/>
        <n v="448.4" u="1"/>
        <n v="233.05" u="1"/>
        <n v="2011.9" u="1"/>
        <n v="410.64" u="1"/>
        <n v="214.76" u="1"/>
        <n v="112.69" u="1"/>
        <n v="47.2" u="1"/>
        <n v="441.32" u="1"/>
        <n v="2177.1" u="1"/>
        <n v="8378" u="1"/>
        <n v="433.06" u="1"/>
        <n v="2135.8000000000002" u="1"/>
        <n v="228.92000000000002" u="1"/>
        <n v="120.36" u="1"/>
        <n v="148.68" u="1"/>
        <n v="276.12" u="1"/>
        <n v="2601.9" u="1"/>
        <n v="312.7" u="1"/>
        <n v="92.924999999999997" u="1"/>
        <n v="1416" u="1"/>
        <n v="291.45999999999998" u="1"/>
        <n v="125.08" u="1"/>
        <n v="83.19" u="1"/>
        <n v="6348.4" u="1"/>
        <n v="331.58" u="1"/>
        <n v="1628.4" u="1"/>
        <n v="139.71200000000002" u="1"/>
        <n v="174.64" u="1"/>
        <n v="92.039999999999992" u="1"/>
        <n v="215.94" u="1"/>
        <n v="405.92" u="1"/>
        <n v="708" u="1"/>
        <n v="362.85" u="1"/>
        <n v="191.75" u="1"/>
        <n v="42.774999999999999" u="1"/>
        <n v="18.88" u="1"/>
        <n v="614.78" u="1"/>
        <n v="316.24" u="1"/>
        <n v="163.43" u="1"/>
        <n v="67.38" u="1"/>
        <n v="34.75" u="1"/>
        <n v="79.885999999999996" u="1"/>
        <n v="179.95" u="1"/>
        <n v="348.1" u="1"/>
        <n v="23.1752" u="1"/>
        <n v="52.038000000000004" u="1"/>
        <n v="934.56" u="1"/>
        <n v="99.356000000000009" u="1"/>
        <n v="473.18" u="1"/>
        <n v="242.49" u="1"/>
        <n v="69.62" u="1"/>
        <n v="99.12" u="1"/>
        <n v="205.32" u="1"/>
        <n v="398.84" u="1"/>
        <n v="2118.1" u="1"/>
        <n v="1074.98" u="1"/>
        <n v="434.71" u="1"/>
        <n v="221.13" u="1"/>
        <n v="297.596" u="1"/>
        <n v="715.08" u="1"/>
        <n v="1409.51" u="1"/>
        <n v="2782.44" u="1"/>
        <n v="3017.26" u="1"/>
        <n v="1526.92" u="1"/>
        <n v="613.6" u="1"/>
        <n v="159.71299999999999" u="1"/>
        <n v="201.78" u="1"/>
        <n v="356.36" u="1"/>
        <n v="658.44" u="1"/>
        <n v="1518.66" u="1"/>
        <n v="2984.22" u="1"/>
        <n v="4790.8" u="1"/>
        <n v="1227.2" u="1"/>
        <n v="253.7" u="1"/>
        <n v="135.69999999999999" u="1"/>
        <n v="78.174999999999997" u="1"/>
        <n v="3941.2" u="1"/>
        <n v="1014.8" u="1"/>
        <n v="212.4" u="1"/>
        <n v="116.82" u="1"/>
        <n v="64.31" u="1"/>
        <n v="142.19" u="1"/>
        <n v="260.77999999999997" u="1"/>
        <n v="1274.4000000000001" u="1"/>
        <n v="5192" u="1"/>
        <n v="1339.3" u="1"/>
        <n v="87.32" u="1"/>
        <n v="151.04" u="1"/>
        <n v="274.94" u="1"/>
        <n v="1349.92" u="1"/>
        <n v="5333.6" u="1"/>
        <n v="1380.6" u="1"/>
        <n v="284.38" u="1"/>
        <n v="151.63" u="1"/>
        <n v="81.13" u="1"/>
        <n v="34.46" u="1"/>
        <n v="39.058" u="1"/>
        <n v="307.98" u="1"/>
        <n v="1510.4" u="1"/>
        <n v="161.66" u="1"/>
        <n v="87.614999999999995" u="1"/>
        <n v="5876.4" u="1"/>
        <n v="64.900000000000006" u="1"/>
        <n v="128.62" u="1"/>
        <n v="223.01999999999998" u="1"/>
        <n v="1989.48" u="1"/>
        <n v="973.5" u="1"/>
        <n v="497.37" u="1"/>
        <n v="254" u="1"/>
        <n v="103.6" u="1"/>
        <n v="1235.46" u="1"/>
        <n v="623.63" u="1"/>
        <n v="317.71499999999997" u="1"/>
        <n v="67.082999999999998" u="1"/>
        <n v="130.626" u="1"/>
        <n v="195.88" u="1"/>
        <n v="451.94" u="1"/>
        <n v="853.14" u="1"/>
        <n v="1705.1" u="1"/>
        <n v="474.36" u="1"/>
        <n v="946.36" u="1"/>
        <n v="479.08" u="1"/>
        <n v="100.536" u="1"/>
        <n v="248.39" u="1"/>
        <n v="22.9392" u="1"/>
        <n v="51.448" u="1"/>
        <n v="40.238" u="1"/>
        <n v="1522.2" u="1"/>
        <n v="1327.5" u="1"/>
        <n v="678.5" u="1"/>
        <n v="283.2" u="1"/>
        <n v="150.44999999999999" u="1"/>
        <n v="76.7" u="1"/>
        <n v="17.995000000000001" u="1"/>
        <n v="1031.32" u="1"/>
        <n v="525.69000000000005" u="1"/>
        <n v="268.16000000000003" u="1"/>
        <n v="109.39" u="1"/>
        <n v="55.7" u="1"/>
        <n v="11.42" u="1"/>
        <n v="1263.78" u="1"/>
        <n v="33.04" u="1"/>
        <n v="79.119" u="1"/>
        <n v="285.79599999999999" u="1"/>
        <n v="655.49" u="1"/>
        <n v="146.43799999999999" u="1"/>
        <n v="106.2" u="1"/>
        <n v="197.06" u="1"/>
        <n v="361.08" u="1"/>
        <n v="817.74" u="1"/>
        <n v="1567.04" u="1"/>
        <n v="76.817999999999998" u="1"/>
        <n v="3469.2" u="1"/>
        <n v="546.34" u="1"/>
        <n v="279.65999999999997" u="1"/>
        <n v="145.435" u="1"/>
        <n v="60.533999999999999" u="1"/>
        <n v="1764.1" u="1"/>
        <n v="189.39" u="1"/>
        <n v="100.01" u="1"/>
        <n v="42.01" u="1"/>
        <n v="494.42" u="1"/>
        <n v="59" u="1"/>
        <n v="2354.1" u="1"/>
        <n v="259.60000000000002" u="1"/>
        <n v="476.72" u="1"/>
        <n v="57.82" u="1"/>
        <n v="2442.6" u="1"/>
        <n v="256.06" u="1"/>
        <n v="125.375" u="1"/>
        <n v="9605.2000000000007" u="1"/>
        <n v="350.46" u="1"/>
        <n v="44.84" u="1"/>
        <n v="194.7" u="1"/>
        <n v="105.02" u="1"/>
        <n v="889.72" u="1"/>
        <n v="454.3" u="1"/>
        <n v="232.46" u="1"/>
        <n v="94.99" u="1"/>
        <n v="290.27999999999997" u="1"/>
        <n v="556.37" u="1"/>
        <n v="1089.1399999999999" u="1"/>
        <n v="1256.7" u="1"/>
        <n v="134.52000000000001" u="1"/>
        <n v="69.325000000000003" u="1"/>
        <n v="637.20000000000005" u="1"/>
        <n v="323.02499999999998" u="1"/>
        <n v="672.6" u="1"/>
        <n v="345.74" u="1"/>
        <n v="178.18" u="1"/>
        <n v="73.28" u="1"/>
        <n v="112.572" u="1"/>
        <n v="251.04500000000002" u="1"/>
        <n v="487.34000000000003" u="1"/>
        <n v="955.8" u="1"/>
        <n v="13994.8" u="1"/>
        <n v="3510.5" u="1"/>
        <n v="185.85" u="1"/>
        <n v="41.89" u="1"/>
        <n v="1180" u="1"/>
        <n v="619.5" u="1"/>
        <n v="324.5" u="1"/>
        <n v="141.6" u="1"/>
        <n v="487.93" u="1"/>
        <n v="257.54000000000002" u="1"/>
        <n v="105.14" u="1"/>
        <n v="55.17" u="1"/>
        <n v="11.45" u="1"/>
        <n v="154.81599999999997" u="1"/>
        <n v="335.71" u="1"/>
        <n v="635.42999999999995" u="1"/>
        <n v="1246.08" u="1"/>
        <n v="1440.78" u="1"/>
        <n v="380.84500000000003" u="1"/>
        <n v="732.19" u="1"/>
        <n v="25.027799999999999" u="1"/>
        <n v="82.36399999999999" u="1"/>
        <n v="158.238" u="1"/>
        <n v="149.97799999999998" u="1"/>
        <n v="729.24" u="1"/>
        <n v="369.04500000000002" u="1"/>
        <n v="23.2578" u="1"/>
        <n v="177" u="1"/>
        <n v="97.35" u="1"/>
        <n v="177.59" u="1"/>
        <n v="376.42" u="1"/>
        <n v="200.6" u="1"/>
        <n v="364.62" u="1"/>
        <n v="188.8" u="1"/>
        <n v="1827" u="1"/>
        <n v="936.09999999999991" u="1"/>
        <n v="499.8" u="1"/>
        <n v="216.76999999999998" u="1"/>
        <n v="53.300000000000004" u="1"/>
        <n v="1249.9000000000001" u="1"/>
        <n v="648" u="1"/>
        <n v="357.22500000000002" u="1"/>
        <n v="5827.5" u="1"/>
        <n v="2984.25" u="1"/>
        <n v="1248" u="1"/>
        <n v="664.27499999999998" u="1"/>
        <n v="339.3" u="1"/>
        <n v="79.757500000000007" u="1"/>
        <n v="1150.0999999999999" u="1"/>
        <n v="609" u="1"/>
        <n v="343.34999999999997" u="1"/>
        <n v="1204.5" u="1"/>
        <n v="627" u="1"/>
        <n v="337.02499999999998" u="1"/>
        <n v="149.85" u="1"/>
        <n v="78.05" u="1"/>
        <n v="3156.5" u="1"/>
        <n v="639.55999999999995" u="1"/>
        <n v="328.63" u="1"/>
        <n v="169.63" u="1"/>
        <n v="69.86" u="1"/>
        <n v="78.706000000000003" u="1"/>
        <n v="181.42500000000001" u="1"/>
        <n v="346.33" u="1"/>
        <n v="677.31999999999994" u="1"/>
        <n v="967.6" u="1"/>
        <n v="495.6" u="1"/>
        <n v="262.55" u="1"/>
        <n v="1480" u="1"/>
        <n v="782.25" u="1"/>
        <n v="412.5" u="1"/>
        <n v="181.2" u="1"/>
        <n v="98.800000000000011" u="1"/>
        <n v="24.48" u="1"/>
        <n v="19122.599999999999" u="1"/>
        <n v="4908.8" u="1"/>
        <n v="1016.95" u="1"/>
        <n v="545.1" u="1"/>
        <n v="314.6875" u="1"/>
        <n v="1376.85" u="1"/>
        <n v="710.7" u="1"/>
        <n v="387.1875" u="1"/>
        <n v="171.81" u="1"/>
        <n v="8606.25" u="1"/>
        <n v="1748" u="1"/>
        <n v="910.47500000000002" u="1"/>
        <n v="466.1" u="1"/>
        <n v="238.95" u="1"/>
        <n v="128.32499999999999" u="1"/>
        <n v="56.05" u="1"/>
        <n v="14.042" u="1"/>
        <n v="1298" u="1"/>
        <n v="663.75" u="1"/>
        <n v="277.3" u="1"/>
        <n v="147.5" u="1"/>
        <n v="75.224999999999994" u="1"/>
        <n v="17.7" u="1"/>
        <n v="1982.4" u="1"/>
        <n v="1026.5999999999999" u="1"/>
        <n v="226.56" u="1"/>
        <n v="51.92" u="1"/>
        <n v="67.271799999999999" u="1"/>
        <n v="146.17839999999998" u="1"/>
        <n v="560.25220000000002" u="1"/>
        <n v="236" u="1"/>
        <n v="401.2" u="1"/>
        <n v="118" u="1"/>
        <n v="424.8" u="1"/>
        <n v="120.95" u="1"/>
        <n v="436.6" u="1"/>
        <n v="300.89999999999998" u="1"/>
        <n v="159.30000000000001" u="1"/>
        <n v="89.974999999999994" u="1"/>
        <n v="743.4" u="1"/>
        <n v="380.55" u="1"/>
        <n v="86.14" u="1"/>
        <n v="44.545000000000002" u="1"/>
        <n v="19.588000000000001" u="1"/>
        <n v="365.8" u="1"/>
        <n v="85.55" u="1"/>
        <n v="44.25" u="1"/>
        <n v="559.32000000000005" u="1"/>
        <n v="305.62" u="1"/>
        <n v="68.44" u="1"/>
        <n v="75.048000000000002" u="1"/>
        <n v="151.92500000000001" u="1"/>
        <n v="545.1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2"/>
    <s v="Chlorpyrifos 50% + Cypermethrin 5% EC"/>
    <s v="Sanchloro C"/>
    <x v="1"/>
    <n v="2186.7760000000003"/>
    <n v="18"/>
    <n v="480.024"/>
    <x v="1"/>
  </r>
  <r>
    <x v="2"/>
    <s v="Chlorpyrifos 50% + Cypermethrin 5% EC"/>
    <s v="Sanchloro C"/>
    <x v="2"/>
    <n v="444.1284"/>
    <n v="18"/>
    <n v="97.491599999999991"/>
    <x v="2"/>
  </r>
  <r>
    <x v="2"/>
    <s v="Chlorpyrifos 50% + Cypermethrin 5% EC"/>
    <s v="Sanchloro C"/>
    <x v="3"/>
    <n v="229.80500000000001"/>
    <n v="18"/>
    <n v="50.445"/>
    <x v="3"/>
  </r>
  <r>
    <x v="2"/>
    <s v="Chlorpyrifos 50% + Cypermethrin 5% EC"/>
    <s v="Sanchloro C"/>
    <x v="4"/>
    <n v="119.2608"/>
    <n v="18"/>
    <n v="26.179199999999998"/>
    <x v="4"/>
  </r>
  <r>
    <x v="2"/>
    <s v="Chlorpyrifos 50% + Cypermethrin 5% EC"/>
    <s v="Sanchloro C"/>
    <x v="5"/>
    <n v="49.3476"/>
    <n v="18"/>
    <n v="10.8324"/>
    <x v="5"/>
  </r>
  <r>
    <x v="1"/>
    <m/>
    <m/>
    <x v="0"/>
    <m/>
    <m/>
    <m/>
    <x v="0"/>
  </r>
  <r>
    <x v="1"/>
    <m/>
    <m/>
    <x v="0"/>
    <m/>
    <m/>
    <m/>
    <x v="0"/>
  </r>
  <r>
    <x v="0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3"/>
    <s v="Chlorpyrifos 50% + Cypermethrin 5% EC"/>
    <s v="Raise 505"/>
    <x v="5"/>
    <n v="64.099999999999994"/>
    <n v="18"/>
    <n v="11.537999999999998"/>
    <x v="6"/>
  </r>
  <r>
    <x v="3"/>
    <s v="Chlorpyrifos 50% + Cypermethrin 5% EC"/>
    <s v="Raise 505"/>
    <x v="2"/>
    <n v="571"/>
    <n v="18"/>
    <n v="102.78"/>
    <x v="7"/>
  </r>
  <r>
    <x v="3"/>
    <s v="Chlorpyrifos 50% + Cypermethrin 5% EC"/>
    <s v="Raise 505"/>
    <x v="1"/>
    <n v="2830"/>
    <n v="18"/>
    <n v="509.4"/>
    <x v="8"/>
  </r>
  <r>
    <x v="3"/>
    <s v="Chlorpyrifos 50% + Cypermethrin 5% EC"/>
    <s v="Raise 505"/>
    <x v="3"/>
    <n v="291.5"/>
    <n v="18"/>
    <n v="52.47"/>
    <x v="9"/>
  </r>
  <r>
    <x v="3"/>
    <s v="Chlorpyrifos 50% + Cypermethrin 5% EC"/>
    <s v="Raise 505"/>
    <x v="4"/>
    <n v="151.75"/>
    <n v="18"/>
    <n v="27.314999999999998"/>
    <x v="1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  <r>
    <x v="4"/>
    <s v="Chlorpyrifos 50% + Cypermethrin 5% EC"/>
    <s v="Sira"/>
    <x v="5"/>
    <n v="87"/>
    <n v="18"/>
    <n v="15.66"/>
    <x v="11"/>
  </r>
  <r>
    <x v="4"/>
    <s v="Chlorpyrifos 50% + Cypermethrin 5% EC"/>
    <s v="Sira"/>
    <x v="4"/>
    <n v="187"/>
    <n v="18"/>
    <n v="33.659999999999997"/>
    <x v="12"/>
  </r>
  <r>
    <x v="4"/>
    <s v="Chlorpyrifos 50% + Cypermethrin 5% EC"/>
    <s v="Sira"/>
    <x v="3"/>
    <n v="347"/>
    <n v="18"/>
    <n v="62.46"/>
    <x v="13"/>
  </r>
  <r>
    <x v="4"/>
    <s v="Chlorpyrifos 50% + Cypermethrin 5% EC"/>
    <s v="Sira"/>
    <x v="2"/>
    <n v="662"/>
    <n v="18"/>
    <n v="119.16"/>
    <x v="14"/>
  </r>
  <r>
    <x v="4"/>
    <s v="Chlorpyrifos 50% + Cypermethrin 5% EC"/>
    <s v="Sira"/>
    <x v="1"/>
    <n v="3263"/>
    <n v="18"/>
    <n v="587.34"/>
    <x v="15"/>
  </r>
  <r>
    <x v="1"/>
    <m/>
    <m/>
    <x v="0"/>
    <m/>
    <m/>
    <m/>
    <x v="0"/>
  </r>
  <r>
    <x v="1"/>
    <m/>
    <m/>
    <x v="0"/>
    <m/>
    <m/>
    <m/>
    <x v="0"/>
  </r>
  <r>
    <x v="1"/>
    <m/>
    <m/>
    <x v="0"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A363B-AD3E-4C91-AC97-67A06AA0A891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Company" colHeaderCaption="Packing">
  <location ref="J4:O8" firstHeaderRow="1" firstDataRow="2" firstDataCol="1" rowPageCount="1" colPageCount="1"/>
  <pivotFields count="8">
    <pivotField axis="axisRow" outline="0" showAll="0">
      <items count="10">
        <item h="1" x="0"/>
        <item x="3"/>
        <item m="1" x="5"/>
        <item x="2"/>
        <item h="1" x="1"/>
        <item h="1" m="1" x="8"/>
        <item m="1" x="6"/>
        <item x="4"/>
        <item h="1" m="1" x="7"/>
        <item t="default"/>
      </items>
    </pivotField>
    <pivotField showAll="0"/>
    <pivotField showAll="0"/>
    <pivotField axis="axisCol" showAll="0">
      <items count="42">
        <item m="1" x="18"/>
        <item x="5"/>
        <item m="1" x="31"/>
        <item x="4"/>
        <item m="1" x="17"/>
        <item x="3"/>
        <item x="0"/>
        <item m="1" x="16"/>
        <item m="1" x="8"/>
        <item m="1" x="9"/>
        <item m="1" x="10"/>
        <item m="1" x="13"/>
        <item m="1" x="11"/>
        <item m="1" x="14"/>
        <item m="1" x="15"/>
        <item m="1" x="32"/>
        <item m="1" x="12"/>
        <item m="1" x="35"/>
        <item m="1" x="36"/>
        <item m="1" x="37"/>
        <item m="1" x="38"/>
        <item m="1" x="39"/>
        <item m="1" x="40"/>
        <item m="1" x="33"/>
        <item m="1" x="34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7"/>
        <item x="2"/>
        <item x="1"/>
        <item m="1" x="6"/>
        <item t="default"/>
      </items>
    </pivotField>
    <pivotField showAll="0"/>
    <pivotField showAll="0"/>
    <pivotField showAll="0"/>
    <pivotField axis="axisPage" dataField="1" showAll="0">
      <items count="402">
        <item m="1" x="218"/>
        <item m="1" x="370"/>
        <item m="1" x="220"/>
        <item m="1" x="217"/>
        <item m="1" x="369"/>
        <item m="1" x="221"/>
        <item m="1" x="216"/>
        <item m="1" x="224"/>
        <item m="1" x="368"/>
        <item m="1" x="215"/>
        <item m="1" x="367"/>
        <item m="1" x="222"/>
        <item m="1" x="214"/>
        <item m="1" x="223"/>
        <item m="1" x="366"/>
        <item m="1" x="213"/>
        <item m="1" x="219"/>
        <item m="1" x="365"/>
        <item x="0"/>
        <item m="1" x="169"/>
        <item m="1" x="170"/>
        <item m="1" x="171"/>
        <item m="1" x="172"/>
        <item m="1" x="173"/>
        <item m="1" x="174"/>
        <item m="1" x="205"/>
        <item m="1" x="176"/>
        <item m="1" x="175"/>
        <item m="1" x="177"/>
        <item m="1" x="178"/>
        <item m="1" x="179"/>
        <item m="1" x="180"/>
        <item m="1" x="206"/>
        <item m="1" x="395"/>
        <item m="1" x="396"/>
        <item m="1" x="117"/>
        <item m="1" x="397"/>
        <item m="1" x="398"/>
        <item m="1" x="399"/>
        <item m="1" x="233"/>
        <item m="1" x="400"/>
        <item m="1" x="110"/>
        <item m="1" x="392"/>
        <item m="1" x="252"/>
        <item m="1" x="393"/>
        <item m="1" x="394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158"/>
        <item m="1" x="371"/>
        <item m="1" x="372"/>
        <item m="1" x="59"/>
        <item m="1" x="373"/>
        <item m="1" x="92"/>
        <item m="1" x="374"/>
        <item m="1" x="375"/>
        <item m="1" x="376"/>
        <item m="1" x="377"/>
        <item m="1" x="378"/>
        <item m="1" x="387"/>
        <item m="1" x="388"/>
        <item m="1" x="305"/>
        <item m="1" x="389"/>
        <item m="1" x="390"/>
        <item m="1" x="391"/>
        <item m="1" x="115"/>
        <item m="1" x="116"/>
        <item m="1" x="118"/>
        <item m="1" x="119"/>
        <item m="1" x="120"/>
        <item m="1" x="121"/>
        <item m="1" x="122"/>
        <item m="1" x="199"/>
        <item m="1" x="123"/>
        <item m="1" x="200"/>
        <item m="1" x="201"/>
        <item m="1" x="202"/>
        <item m="1" x="124"/>
        <item m="1" x="203"/>
        <item m="1" x="204"/>
        <item m="1" x="125"/>
        <item m="1" x="126"/>
        <item m="1" x="127"/>
        <item m="1" x="128"/>
        <item m="1" x="384"/>
        <item m="1" x="385"/>
        <item m="1" x="386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79"/>
        <item m="1" x="225"/>
        <item m="1" x="380"/>
        <item m="1" x="381"/>
        <item m="1" x="382"/>
        <item m="1" x="383"/>
        <item m="1" x="360"/>
        <item m="1" x="361"/>
        <item m="1" x="362"/>
        <item m="1" x="363"/>
        <item m="1" x="364"/>
        <item m="1" x="64"/>
        <item m="1" x="65"/>
        <item m="1" x="66"/>
        <item m="1" x="67"/>
        <item m="1" x="68"/>
        <item m="1" x="69"/>
        <item m="1" x="232"/>
        <item m="1" x="234"/>
        <item m="1" x="235"/>
        <item m="1" x="70"/>
        <item m="1" x="71"/>
        <item m="1" x="72"/>
        <item m="1" x="73"/>
        <item x="2"/>
        <item m="1" x="357"/>
        <item m="1" x="358"/>
        <item m="1" x="359"/>
        <item m="1" x="81"/>
        <item m="1" x="82"/>
        <item m="1" x="83"/>
        <item m="1" x="84"/>
        <item m="1" x="85"/>
        <item m="1" x="80"/>
        <item m="1" x="86"/>
        <item m="1" x="87"/>
        <item m="1" x="88"/>
        <item m="1" x="89"/>
        <item m="1" x="90"/>
        <item m="1" x="91"/>
        <item m="1" x="353"/>
        <item m="1" x="354"/>
        <item m="1" x="355"/>
        <item m="1" x="356"/>
        <item m="1" x="47"/>
        <item m="1" x="48"/>
        <item m="1" x="49"/>
        <item m="1" x="50"/>
        <item m="1" x="51"/>
        <item m="1" x="52"/>
        <item m="1" x="53"/>
        <item m="1" x="54"/>
        <item m="1" x="198"/>
        <item m="1" x="308"/>
        <item m="1" x="309"/>
        <item m="1" x="310"/>
        <item m="1" x="311"/>
        <item m="1" x="312"/>
        <item m="1" x="313"/>
        <item m="1" x="314"/>
        <item m="1" x="315"/>
        <item m="1" x="76"/>
        <item m="1" x="303"/>
        <item m="1" x="304"/>
        <item m="1" x="306"/>
        <item m="1" x="307"/>
        <item m="1" x="322"/>
        <item m="1" x="323"/>
        <item m="1" x="324"/>
        <item m="1" x="348"/>
        <item m="1" x="349"/>
        <item m="1" x="350"/>
        <item m="1" x="351"/>
        <item m="1" x="352"/>
        <item m="1" x="155"/>
        <item m="1" x="156"/>
        <item m="1" x="157"/>
        <item m="1" x="159"/>
        <item m="1" x="160"/>
        <item m="1" x="161"/>
        <item m="1" x="162"/>
        <item m="1" x="163"/>
        <item m="1" x="164"/>
        <item m="1" x="93"/>
        <item m="1" x="55"/>
        <item m="1" x="342"/>
        <item m="1" x="343"/>
        <item m="1" x="344"/>
        <item m="1" x="345"/>
        <item m="1" x="346"/>
        <item m="1" x="347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25"/>
        <item m="1" x="326"/>
        <item m="1" x="327"/>
        <item m="1" x="328"/>
        <item m="1" x="329"/>
        <item m="1" x="316"/>
        <item m="1" x="317"/>
        <item m="1" x="318"/>
        <item m="1" x="319"/>
        <item m="1" x="320"/>
        <item m="1" x="321"/>
        <item x="1"/>
        <item x="3"/>
        <item x="4"/>
        <item x="5"/>
        <item m="1" x="230"/>
        <item m="1" x="231"/>
        <item x="7"/>
        <item x="6"/>
        <item x="8"/>
        <item x="9"/>
        <item x="10"/>
        <item m="1" x="33"/>
        <item m="1" x="34"/>
        <item m="1" x="35"/>
        <item m="1" x="36"/>
        <item m="1" x="37"/>
        <item m="1" x="250"/>
        <item m="1" x="251"/>
        <item m="1" x="236"/>
        <item m="1" x="253"/>
        <item m="1" x="39"/>
        <item m="1" x="38"/>
        <item m="1" x="40"/>
        <item m="1" x="41"/>
        <item m="1" x="42"/>
        <item m="1" x="227"/>
        <item m="1" x="237"/>
        <item m="1" x="238"/>
        <item m="1" x="239"/>
        <item m="1" x="240"/>
        <item m="1" x="241"/>
        <item m="1" x="242"/>
        <item m="1" x="243"/>
        <item m="1" x="153"/>
        <item m="1" x="244"/>
        <item m="1" x="245"/>
        <item m="1" x="246"/>
        <item m="1" x="247"/>
        <item m="1" x="248"/>
        <item m="1" x="249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111"/>
        <item m="1" x="276"/>
        <item m="1" x="277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96"/>
        <item m="1" x="56"/>
        <item m="1" x="97"/>
        <item m="1" x="60"/>
        <item m="1" x="61"/>
        <item m="1" x="62"/>
        <item m="1" x="63"/>
        <item m="1" x="301"/>
        <item m="1" x="302"/>
        <item m="1" x="43"/>
        <item m="1" x="44"/>
        <item m="1" x="45"/>
        <item m="1" x="46"/>
        <item m="1" x="150"/>
        <item m="1" x="151"/>
        <item m="1" x="152"/>
        <item m="1" x="154"/>
        <item m="1" x="112"/>
        <item m="1" x="74"/>
        <item m="1" x="113"/>
        <item m="1" x="114"/>
        <item m="1" x="278"/>
        <item m="1" x="279"/>
        <item m="1" x="280"/>
        <item m="1" x="281"/>
        <item m="1" x="211"/>
        <item m="1" x="57"/>
        <item m="1" x="58"/>
        <item m="1" x="75"/>
        <item m="1" x="77"/>
        <item x="11"/>
        <item x="12"/>
        <item x="13"/>
        <item x="14"/>
        <item x="15"/>
        <item m="1" x="207"/>
        <item m="1" x="208"/>
        <item m="1" x="209"/>
        <item m="1" x="210"/>
        <item m="1" x="212"/>
        <item m="1" x="226"/>
        <item m="1" x="228"/>
        <item m="1" x="229"/>
        <item m="1" x="181"/>
        <item m="1" x="182"/>
        <item m="1" x="183"/>
        <item m="1" x="184"/>
        <item m="1" x="129"/>
        <item m="1" x="130"/>
        <item m="1" x="131"/>
        <item m="1" x="132"/>
        <item m="1" x="108"/>
        <item m="1" x="109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78"/>
        <item m="1" x="79"/>
        <item m="1" x="94"/>
        <item m="1" x="95"/>
        <item m="1" x="28"/>
        <item m="1" x="29"/>
        <item m="1" x="30"/>
        <item m="1" x="31"/>
        <item m="1" x="32"/>
        <item m="1" x="165"/>
        <item m="1" x="166"/>
        <item m="1" x="167"/>
        <item m="1" x="168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t="default"/>
      </items>
    </pivotField>
  </pivotFields>
  <rowFields count="1">
    <field x="0"/>
  </rowFields>
  <rowItems count="3">
    <i>
      <x v="1"/>
    </i>
    <i>
      <x v="3"/>
    </i>
    <i>
      <x v="7"/>
    </i>
  </rowItems>
  <colFields count="1">
    <field x="3"/>
  </colFields>
  <colItems count="5">
    <i>
      <x v="1"/>
    </i>
    <i>
      <x v="3"/>
    </i>
    <i>
      <x v="5"/>
    </i>
    <i>
      <x v="38"/>
    </i>
    <i>
      <x v="39"/>
    </i>
  </colItems>
  <pageFields count="1">
    <pageField fld="7" hier="-1"/>
  </pageFields>
  <dataFields count="1">
    <dataField name="List" fld="7" baseField="0" baseItem="0"/>
  </dataFields>
  <formats count="9">
    <format dxfId="9">
      <pivotArea outline="0" collapsedLevelsAreSubtotals="1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fieldPosition="0">
        <references count="1"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fieldPosition="0">
        <references count="1">
          <reference field="3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8753C-6111-4415-B55B-FB7DFEBD40F3}">
  <sheetPr codeName="Sheet2"/>
  <dimension ref="B2:M17"/>
  <sheetViews>
    <sheetView workbookViewId="0">
      <selection activeCell="P10" sqref="P10"/>
    </sheetView>
  </sheetViews>
  <sheetFormatPr defaultRowHeight="14.4" x14ac:dyDescent="0.3"/>
  <cols>
    <col min="2" max="2" width="16.33203125" bestFit="1" customWidth="1"/>
    <col min="3" max="3" width="9.5546875" bestFit="1" customWidth="1"/>
    <col min="6" max="6" width="15.44140625" bestFit="1" customWidth="1"/>
    <col min="7" max="7" width="14.88671875" bestFit="1" customWidth="1"/>
    <col min="8" max="8" width="6.21875" bestFit="1" customWidth="1"/>
    <col min="11" max="11" width="8.109375" bestFit="1" customWidth="1"/>
    <col min="12" max="12" width="7.44140625" bestFit="1" customWidth="1"/>
  </cols>
  <sheetData>
    <row r="2" spans="2:13" ht="25.8" customHeight="1" x14ac:dyDescent="0.3">
      <c r="B2" s="33" t="s">
        <v>188</v>
      </c>
      <c r="C2" s="33"/>
      <c r="D2" s="33"/>
      <c r="E2" s="15"/>
      <c r="F2" s="33" t="s">
        <v>193</v>
      </c>
      <c r="G2" s="33"/>
      <c r="H2" s="33"/>
      <c r="I2" s="15"/>
      <c r="K2" s="33" t="s">
        <v>232</v>
      </c>
      <c r="L2" s="33"/>
      <c r="M2" s="33"/>
    </row>
    <row r="3" spans="2:13" ht="28.95" customHeight="1" x14ac:dyDescent="0.45">
      <c r="B3" s="20" t="s">
        <v>196</v>
      </c>
      <c r="C3" s="20" t="s">
        <v>197</v>
      </c>
      <c r="D3" s="21"/>
      <c r="E3" s="22"/>
      <c r="F3" s="20" t="s">
        <v>186</v>
      </c>
      <c r="G3" s="20" t="s">
        <v>187</v>
      </c>
      <c r="H3" s="20">
        <v>505</v>
      </c>
      <c r="I3" s="22"/>
      <c r="J3" s="23"/>
      <c r="K3" s="21"/>
      <c r="L3" s="21"/>
      <c r="M3" s="21"/>
    </row>
    <row r="4" spans="2:13" ht="28.95" customHeight="1" x14ac:dyDescent="0.45">
      <c r="B4" s="20" t="s">
        <v>191</v>
      </c>
      <c r="C4" s="21"/>
      <c r="D4" s="21"/>
      <c r="E4" s="22"/>
      <c r="F4" s="20" t="s">
        <v>235</v>
      </c>
      <c r="G4" s="20" t="s">
        <v>236</v>
      </c>
      <c r="H4" s="24"/>
      <c r="I4" s="22"/>
      <c r="J4" s="23"/>
      <c r="K4" s="20" t="s">
        <v>233</v>
      </c>
      <c r="L4" s="20" t="s">
        <v>231</v>
      </c>
      <c r="M4" s="21"/>
    </row>
    <row r="5" spans="2:13" ht="28.95" customHeight="1" x14ac:dyDescent="0.45">
      <c r="B5" s="20" t="s">
        <v>190</v>
      </c>
      <c r="C5" s="20" t="s">
        <v>192</v>
      </c>
      <c r="D5" s="21"/>
      <c r="E5" s="22"/>
      <c r="F5" s="20" t="s">
        <v>199</v>
      </c>
      <c r="G5" s="20" t="s">
        <v>200</v>
      </c>
      <c r="H5" s="24"/>
      <c r="I5" s="22"/>
      <c r="J5" s="23"/>
      <c r="K5" s="21"/>
      <c r="L5" s="21"/>
      <c r="M5" s="21"/>
    </row>
    <row r="6" spans="2:13" ht="28.95" customHeight="1" x14ac:dyDescent="0.45">
      <c r="B6" s="20" t="s">
        <v>189</v>
      </c>
      <c r="C6" s="20" t="s">
        <v>326</v>
      </c>
      <c r="D6" s="21"/>
      <c r="E6" s="22"/>
      <c r="F6" s="20" t="s">
        <v>234</v>
      </c>
      <c r="G6" s="21"/>
      <c r="H6" s="24"/>
      <c r="I6" s="22"/>
      <c r="J6" s="23"/>
      <c r="K6" s="21"/>
      <c r="L6" s="21"/>
      <c r="M6" s="21"/>
    </row>
    <row r="7" spans="2:13" ht="28.95" customHeight="1" x14ac:dyDescent="0.45">
      <c r="B7" s="20" t="s">
        <v>327</v>
      </c>
      <c r="C7" s="21"/>
      <c r="D7" s="21"/>
      <c r="E7" s="23"/>
      <c r="F7" s="20" t="s">
        <v>202</v>
      </c>
      <c r="G7" s="20" t="s">
        <v>201</v>
      </c>
      <c r="H7" s="21"/>
      <c r="I7" s="23"/>
      <c r="J7" s="23"/>
      <c r="K7" s="21"/>
      <c r="L7" s="21"/>
      <c r="M7" s="21"/>
    </row>
    <row r="8" spans="2:13" ht="28.95" customHeight="1" x14ac:dyDescent="0.45">
      <c r="B8" s="21"/>
      <c r="C8" s="21"/>
      <c r="D8" s="21"/>
      <c r="E8" s="23"/>
      <c r="F8" s="20" t="s">
        <v>198</v>
      </c>
      <c r="G8" s="24"/>
      <c r="H8" s="21"/>
      <c r="I8" s="23"/>
      <c r="J8" s="23"/>
      <c r="K8" s="21"/>
      <c r="L8" s="21"/>
      <c r="M8" s="21"/>
    </row>
    <row r="9" spans="2:13" ht="28.95" customHeight="1" x14ac:dyDescent="0.45">
      <c r="B9" s="21"/>
      <c r="C9" s="21"/>
      <c r="D9" s="21"/>
      <c r="E9" s="23"/>
      <c r="F9" s="20" t="s">
        <v>328</v>
      </c>
      <c r="G9" s="21"/>
      <c r="H9" s="21"/>
      <c r="I9" s="23"/>
      <c r="J9" s="23"/>
      <c r="K9" s="21"/>
      <c r="L9" s="21"/>
      <c r="M9" s="21"/>
    </row>
    <row r="10" spans="2:13" ht="28.95" customHeight="1" x14ac:dyDescent="0.45">
      <c r="B10" s="21"/>
      <c r="C10" s="21"/>
      <c r="D10" s="21"/>
      <c r="E10" s="23"/>
      <c r="F10" s="20" t="s">
        <v>194</v>
      </c>
      <c r="G10" s="21"/>
      <c r="H10" s="21"/>
      <c r="I10" s="23"/>
      <c r="J10" s="23"/>
      <c r="K10" s="21"/>
      <c r="L10" s="21"/>
      <c r="M10" s="21"/>
    </row>
    <row r="11" spans="2:13" ht="28.95" customHeight="1" x14ac:dyDescent="0.45">
      <c r="B11" s="21"/>
      <c r="C11" s="21"/>
      <c r="D11" s="21"/>
      <c r="E11" s="23"/>
      <c r="F11" s="20" t="s">
        <v>237</v>
      </c>
      <c r="G11" s="20" t="s">
        <v>238</v>
      </c>
      <c r="H11" s="21"/>
      <c r="I11" s="23"/>
      <c r="J11" s="23"/>
      <c r="K11" s="21"/>
      <c r="L11" s="21"/>
      <c r="M11" s="21"/>
    </row>
    <row r="12" spans="2:13" ht="23.4" x14ac:dyDescent="0.45">
      <c r="B12" s="21"/>
      <c r="C12" s="21"/>
      <c r="D12" s="21"/>
      <c r="E12" s="23"/>
      <c r="F12" s="32"/>
      <c r="G12" s="21"/>
      <c r="H12" s="21"/>
      <c r="I12" s="23"/>
      <c r="J12" s="23"/>
      <c r="K12" s="21"/>
      <c r="L12" s="21"/>
      <c r="M12" s="21"/>
    </row>
    <row r="13" spans="2:13" ht="23.4" x14ac:dyDescent="0.45">
      <c r="B13" s="21"/>
      <c r="C13" s="21"/>
      <c r="D13" s="21"/>
      <c r="E13" s="23"/>
      <c r="F13" s="21"/>
      <c r="G13" s="21"/>
      <c r="H13" s="21"/>
      <c r="I13" s="23"/>
      <c r="J13" s="23"/>
      <c r="K13" s="21"/>
      <c r="L13" s="21"/>
      <c r="M13" s="21"/>
    </row>
    <row r="14" spans="2:13" ht="23.4" x14ac:dyDescent="0.45">
      <c r="B14" s="21"/>
      <c r="C14" s="21"/>
      <c r="D14" s="21"/>
      <c r="E14" s="23"/>
      <c r="F14" s="21"/>
      <c r="G14" s="21"/>
      <c r="H14" s="21"/>
      <c r="I14" s="23"/>
      <c r="J14" s="23"/>
      <c r="K14" s="21"/>
      <c r="L14" s="21"/>
      <c r="M14" s="21"/>
    </row>
    <row r="15" spans="2:13" ht="23.4" x14ac:dyDescent="0.45">
      <c r="B15" s="21"/>
      <c r="C15" s="21"/>
      <c r="D15" s="21"/>
      <c r="E15" s="23"/>
      <c r="F15" s="21"/>
      <c r="G15" s="21"/>
      <c r="H15" s="21"/>
      <c r="I15" s="23"/>
      <c r="J15" s="23"/>
      <c r="K15" s="21"/>
      <c r="L15" s="21"/>
      <c r="M15" s="21"/>
    </row>
    <row r="16" spans="2:13" ht="23.4" x14ac:dyDescent="0.45">
      <c r="B16" s="21"/>
      <c r="C16" s="21"/>
      <c r="D16" s="21"/>
      <c r="E16" s="23"/>
      <c r="F16" s="21"/>
      <c r="G16" s="21"/>
      <c r="H16" s="21"/>
      <c r="I16" s="23"/>
      <c r="J16" s="23"/>
      <c r="K16" s="21"/>
      <c r="L16" s="21"/>
      <c r="M16" s="21"/>
    </row>
    <row r="17" spans="2:13" ht="23.4" x14ac:dyDescent="0.45">
      <c r="B17" s="21"/>
      <c r="C17" s="21"/>
      <c r="D17" s="21"/>
      <c r="E17" s="23"/>
      <c r="F17" s="21"/>
      <c r="G17" s="21"/>
      <c r="H17" s="21"/>
      <c r="I17" s="23"/>
      <c r="J17" s="23"/>
      <c r="K17" s="21"/>
      <c r="L17" s="21"/>
      <c r="M17" s="21"/>
    </row>
  </sheetData>
  <mergeCells count="3">
    <mergeCell ref="K2:M2"/>
    <mergeCell ref="B2:D2"/>
    <mergeCell ref="F2:H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6"/>
  <sheetViews>
    <sheetView zoomScale="120" zoomScaleNormal="120" workbookViewId="0">
      <selection activeCell="I11" sqref="I11"/>
    </sheetView>
  </sheetViews>
  <sheetFormatPr defaultRowHeight="14.4" x14ac:dyDescent="0.3"/>
  <cols>
    <col min="1" max="1" width="9.109375" style="2" bestFit="1" customWidth="1"/>
    <col min="2" max="2" width="33.77734375" style="2" bestFit="1" customWidth="1"/>
    <col min="3" max="3" width="14.88671875" style="2" bestFit="1" customWidth="1"/>
    <col min="4" max="4" width="8.21875" style="2" bestFit="1" customWidth="1"/>
    <col min="5" max="5" width="9.109375" style="5" bestFit="1" customWidth="1"/>
    <col min="6" max="6" width="6.109375" style="2" bestFit="1" customWidth="1"/>
    <col min="7" max="7" width="7" style="5" bestFit="1" customWidth="1"/>
    <col min="8" max="8" width="8.6640625" style="5" bestFit="1" customWidth="1"/>
    <col min="9" max="9" width="5.33203125" customWidth="1"/>
    <col min="10" max="10" width="13.5546875" bestFit="1" customWidth="1"/>
    <col min="11" max="11" width="9.77734375" style="1" bestFit="1" customWidth="1"/>
    <col min="12" max="13" width="7.109375" style="1" bestFit="1" customWidth="1"/>
    <col min="14" max="15" width="8.109375" style="1" bestFit="1" customWidth="1"/>
    <col min="16" max="16" width="9.109375" style="1" bestFit="1" customWidth="1"/>
    <col min="17" max="17" width="9.33203125" style="1" bestFit="1" customWidth="1"/>
    <col min="18" max="18" width="12" style="1" bestFit="1" customWidth="1"/>
    <col min="19" max="21" width="13.109375" style="1" bestFit="1" customWidth="1"/>
    <col min="22" max="22" width="12" bestFit="1" customWidth="1"/>
    <col min="23" max="24" width="12.5546875" bestFit="1" customWidth="1"/>
    <col min="25" max="25" width="9" bestFit="1" customWidth="1"/>
    <col min="26" max="28" width="12.6640625" bestFit="1" customWidth="1"/>
  </cols>
  <sheetData>
    <row r="1" spans="1:21" ht="10.199999999999999" customHeight="1" x14ac:dyDescent="0.3">
      <c r="B1" s="34" t="s">
        <v>122</v>
      </c>
    </row>
    <row r="2" spans="1:21" ht="15" thickBot="1" x14ac:dyDescent="0.35">
      <c r="B2" s="35"/>
      <c r="J2" s="6" t="s">
        <v>6</v>
      </c>
      <c r="K2" t="s">
        <v>195</v>
      </c>
    </row>
    <row r="4" spans="1:21" x14ac:dyDescent="0.3">
      <c r="A4" s="3" t="s">
        <v>175</v>
      </c>
      <c r="B4" s="3" t="s">
        <v>0</v>
      </c>
      <c r="C4" s="3" t="s">
        <v>1</v>
      </c>
      <c r="D4" s="3" t="s">
        <v>2</v>
      </c>
      <c r="E4" s="4" t="s">
        <v>3</v>
      </c>
      <c r="F4" s="3" t="s">
        <v>4</v>
      </c>
      <c r="G4" s="4" t="s">
        <v>5</v>
      </c>
      <c r="H4" s="4" t="s">
        <v>6</v>
      </c>
      <c r="J4" s="6" t="s">
        <v>321</v>
      </c>
      <c r="K4" s="6" t="s">
        <v>2</v>
      </c>
      <c r="L4"/>
      <c r="M4"/>
      <c r="N4"/>
      <c r="O4"/>
      <c r="P4"/>
      <c r="Q4"/>
      <c r="R4"/>
      <c r="S4"/>
      <c r="T4"/>
      <c r="U4"/>
    </row>
    <row r="5" spans="1:21" x14ac:dyDescent="0.3">
      <c r="A5" s="7" t="e" cm="1" vm="1">
        <f t="array" ref="A5">_xlfn._xlws.FILTER([1]PriceList!$B:$I,[1]PriceList!$C:$C=B1)</f>
        <v>#VALUE!</v>
      </c>
      <c r="B5" s="7"/>
      <c r="C5" s="7"/>
      <c r="D5" s="7"/>
      <c r="E5" s="8"/>
      <c r="F5" s="7"/>
      <c r="G5" s="8"/>
      <c r="H5" s="8"/>
      <c r="J5" s="17" t="s">
        <v>175</v>
      </c>
      <c r="K5" s="2" t="s">
        <v>329</v>
      </c>
      <c r="L5" s="2" t="s">
        <v>322</v>
      </c>
      <c r="M5" s="2" t="s">
        <v>323</v>
      </c>
      <c r="N5" t="s">
        <v>324</v>
      </c>
      <c r="O5" t="s">
        <v>325</v>
      </c>
      <c r="P5"/>
      <c r="Q5"/>
      <c r="R5"/>
      <c r="S5"/>
      <c r="T5"/>
      <c r="U5"/>
    </row>
    <row r="6" spans="1:21" x14ac:dyDescent="0.3">
      <c r="A6" s="7"/>
      <c r="B6" s="7"/>
      <c r="C6" s="7"/>
      <c r="D6" s="7"/>
      <c r="E6" s="8"/>
      <c r="F6" s="7"/>
      <c r="G6" s="8"/>
      <c r="H6" s="8"/>
      <c r="J6" s="2" t="s">
        <v>182</v>
      </c>
      <c r="K6" s="5">
        <v>75.637999999999991</v>
      </c>
      <c r="L6" s="5">
        <v>179.065</v>
      </c>
      <c r="M6" s="5">
        <v>343.97</v>
      </c>
      <c r="N6" s="5">
        <v>673.78</v>
      </c>
      <c r="O6" s="5">
        <v>3339.4</v>
      </c>
      <c r="P6"/>
      <c r="Q6"/>
      <c r="R6"/>
      <c r="S6"/>
      <c r="T6"/>
      <c r="U6"/>
    </row>
    <row r="7" spans="1:21" x14ac:dyDescent="0.3">
      <c r="A7" s="7"/>
      <c r="B7" s="7"/>
      <c r="C7" s="7"/>
      <c r="D7" s="7"/>
      <c r="E7" s="8"/>
      <c r="F7" s="7"/>
      <c r="G7" s="8"/>
      <c r="H7" s="8"/>
      <c r="J7" s="2" t="s">
        <v>177</v>
      </c>
      <c r="K7" s="5">
        <v>60.18</v>
      </c>
      <c r="L7" s="5">
        <v>145.44</v>
      </c>
      <c r="M7" s="5">
        <v>280.25</v>
      </c>
      <c r="N7" s="5">
        <v>541.62</v>
      </c>
      <c r="O7" s="5">
        <v>2666.8</v>
      </c>
      <c r="P7"/>
      <c r="Q7"/>
      <c r="R7"/>
      <c r="S7"/>
      <c r="T7"/>
      <c r="U7"/>
    </row>
    <row r="8" spans="1:21" x14ac:dyDescent="0.3">
      <c r="A8" s="7"/>
      <c r="B8" s="7"/>
      <c r="C8" s="7"/>
      <c r="D8" s="7"/>
      <c r="E8" s="8"/>
      <c r="F8" s="7"/>
      <c r="G8" s="8"/>
      <c r="H8" s="8"/>
      <c r="J8" s="2" t="s">
        <v>246</v>
      </c>
      <c r="K8" s="5">
        <v>102.66</v>
      </c>
      <c r="L8" s="5">
        <v>220.66</v>
      </c>
      <c r="M8" s="5">
        <v>409.46</v>
      </c>
      <c r="N8" s="5">
        <v>781.16</v>
      </c>
      <c r="O8" s="5">
        <v>3850.34</v>
      </c>
      <c r="P8"/>
      <c r="Q8"/>
      <c r="R8"/>
      <c r="S8"/>
      <c r="T8"/>
      <c r="U8"/>
    </row>
    <row r="9" spans="1:21" x14ac:dyDescent="0.3">
      <c r="A9" s="7"/>
      <c r="B9" s="7"/>
      <c r="C9" s="7"/>
      <c r="D9" s="7"/>
      <c r="E9" s="8"/>
      <c r="F9" s="7"/>
      <c r="G9" s="8"/>
      <c r="H9" s="8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 s="7"/>
      <c r="B10" s="7"/>
      <c r="C10" s="7"/>
      <c r="D10" s="7"/>
      <c r="E10" s="8"/>
      <c r="F10" s="7"/>
      <c r="G10" s="8"/>
      <c r="H10" s="8"/>
      <c r="K10"/>
      <c r="L10"/>
      <c r="M10"/>
      <c r="N10"/>
      <c r="O10"/>
      <c r="P10"/>
      <c r="Q10"/>
      <c r="R10"/>
      <c r="S10"/>
      <c r="T10"/>
      <c r="U10"/>
    </row>
    <row r="11" spans="1:21" x14ac:dyDescent="0.3">
      <c r="A11" s="7"/>
      <c r="B11" s="7"/>
      <c r="C11" s="7"/>
      <c r="D11" s="7"/>
      <c r="E11" s="8"/>
      <c r="F11" s="7"/>
      <c r="G11" s="8"/>
      <c r="H11" s="8"/>
      <c r="J11" s="2"/>
      <c r="K11" s="2"/>
      <c r="L11" s="2"/>
      <c r="M11" s="2"/>
      <c r="N11" s="2"/>
      <c r="O11" s="2"/>
      <c r="P11" s="2"/>
      <c r="Q11"/>
      <c r="R11"/>
    </row>
    <row r="12" spans="1:21" x14ac:dyDescent="0.3">
      <c r="A12" s="9" t="str" cm="1">
        <f t="array" ref="A12:H16">_xlfn._xlws.FILTER([2]PriceList!$B:$I,[2]PriceList!$C:$C=B1)</f>
        <v>Sandhya</v>
      </c>
      <c r="B12" s="9" t="str">
        <v>Chlorpyrifos 50% + Cypermethrin 5% EC</v>
      </c>
      <c r="C12" s="9" t="str">
        <v>Sanchloro C</v>
      </c>
      <c r="D12" s="9" t="str">
        <v>5000 ML</v>
      </c>
      <c r="E12" s="10">
        <v>2332.9738000000002</v>
      </c>
      <c r="F12" s="9">
        <v>18</v>
      </c>
      <c r="G12" s="10">
        <v>512.11620000000005</v>
      </c>
      <c r="H12" s="10">
        <v>2845.09</v>
      </c>
    </row>
    <row r="13" spans="1:21" x14ac:dyDescent="0.3">
      <c r="A13" s="9" t="str">
        <v>Sandhya</v>
      </c>
      <c r="B13" s="9" t="str">
        <v>Chlorpyrifos 50% + Cypermethrin 5% EC</v>
      </c>
      <c r="C13" s="9" t="str">
        <v>Sanchloro C</v>
      </c>
      <c r="D13" s="9" t="str">
        <v>1000 ML</v>
      </c>
      <c r="E13" s="10">
        <v>473.96820000000002</v>
      </c>
      <c r="F13" s="9">
        <v>18</v>
      </c>
      <c r="G13" s="10">
        <v>104.04179999999999</v>
      </c>
      <c r="H13" s="10">
        <v>578.01</v>
      </c>
    </row>
    <row r="14" spans="1:21" x14ac:dyDescent="0.3">
      <c r="A14" s="9" t="str">
        <v>Sandhya</v>
      </c>
      <c r="B14" s="9" t="str">
        <v>Chlorpyrifos 50% + Cypermethrin 5% EC</v>
      </c>
      <c r="C14" s="9" t="str">
        <v>Sanchloro C</v>
      </c>
      <c r="D14" s="9" t="str">
        <v>500 ML</v>
      </c>
      <c r="E14" s="10">
        <v>245.28659999999999</v>
      </c>
      <c r="F14" s="9">
        <v>18</v>
      </c>
      <c r="G14" s="10">
        <v>53.843399999999995</v>
      </c>
      <c r="H14" s="10">
        <v>299.13</v>
      </c>
    </row>
    <row r="15" spans="1:21" x14ac:dyDescent="0.3">
      <c r="A15" s="9" t="str">
        <v>Sandhya</v>
      </c>
      <c r="B15" s="9" t="str">
        <v>Chlorpyrifos 50% + Cypermethrin 5% EC</v>
      </c>
      <c r="C15" s="9" t="str">
        <v>Sanchloro C</v>
      </c>
      <c r="D15" s="9" t="str">
        <v>250 ML</v>
      </c>
      <c r="E15" s="10">
        <v>127.25579999999999</v>
      </c>
      <c r="F15" s="9">
        <v>18</v>
      </c>
      <c r="G15" s="10">
        <v>27.934199999999997</v>
      </c>
      <c r="H15" s="10">
        <v>155.19</v>
      </c>
      <c r="K15" s="16"/>
      <c r="L15" s="16"/>
      <c r="M15" s="16"/>
      <c r="N15" s="16"/>
      <c r="O15" s="16"/>
      <c r="P15" s="16"/>
      <c r="Q15" s="16"/>
    </row>
    <row r="16" spans="1:21" x14ac:dyDescent="0.3">
      <c r="A16" s="9" t="str">
        <v>Sandhya</v>
      </c>
      <c r="B16" s="9" t="str">
        <v>Chlorpyrifos 50% + Cypermethrin 5% EC</v>
      </c>
      <c r="C16" s="9" t="str">
        <v>Sanchloro C</v>
      </c>
      <c r="D16" s="9" t="str">
        <v>100 ML</v>
      </c>
      <c r="E16" s="10">
        <v>55.514000000000003</v>
      </c>
      <c r="F16" s="9">
        <v>18</v>
      </c>
      <c r="G16" s="10">
        <v>12.186</v>
      </c>
      <c r="H16" s="10">
        <v>67.7</v>
      </c>
    </row>
    <row r="17" spans="1:8" x14ac:dyDescent="0.3">
      <c r="A17" s="9"/>
      <c r="B17" s="9"/>
      <c r="C17" s="9"/>
      <c r="D17" s="9"/>
      <c r="E17" s="10"/>
      <c r="F17" s="9"/>
      <c r="G17" s="10"/>
      <c r="H17" s="10"/>
    </row>
    <row r="18" spans="1:8" x14ac:dyDescent="0.3">
      <c r="A18" s="9"/>
      <c r="B18" s="9"/>
      <c r="C18" s="9"/>
      <c r="D18" s="9"/>
      <c r="E18" s="10"/>
      <c r="F18" s="9"/>
      <c r="G18" s="10"/>
      <c r="H18" s="10"/>
    </row>
    <row r="19" spans="1:8" x14ac:dyDescent="0.3">
      <c r="A19" s="11" t="e" cm="1" vm="1">
        <f t="array" ref="A19">_xlfn._xlws.FILTER([3]PriceList!$B:$I,[3]PriceList!$C:$C=B1)</f>
        <v>#VALUE!</v>
      </c>
      <c r="B19" s="11"/>
      <c r="C19" s="11"/>
      <c r="D19" s="11"/>
      <c r="E19" s="12"/>
      <c r="F19" s="11"/>
      <c r="G19" s="12"/>
      <c r="H19" s="12"/>
    </row>
    <row r="20" spans="1:8" x14ac:dyDescent="0.3">
      <c r="A20" s="11"/>
      <c r="B20" s="11"/>
      <c r="C20" s="11"/>
      <c r="D20" s="11"/>
      <c r="E20" s="12"/>
      <c r="F20" s="11"/>
      <c r="G20" s="12"/>
      <c r="H20" s="12"/>
    </row>
    <row r="21" spans="1:8" x14ac:dyDescent="0.3">
      <c r="A21" s="11"/>
      <c r="B21" s="11"/>
      <c r="C21" s="11"/>
      <c r="D21" s="11"/>
      <c r="E21" s="12"/>
      <c r="F21" s="11"/>
      <c r="G21" s="12"/>
      <c r="H21" s="12"/>
    </row>
    <row r="22" spans="1:8" x14ac:dyDescent="0.3">
      <c r="A22" s="11"/>
      <c r="B22" s="11"/>
      <c r="C22" s="11"/>
      <c r="D22" s="11"/>
      <c r="E22" s="12"/>
      <c r="F22" s="11"/>
      <c r="G22" s="12"/>
      <c r="H22" s="12"/>
    </row>
    <row r="23" spans="1:8" x14ac:dyDescent="0.3">
      <c r="A23" s="11"/>
      <c r="B23" s="11"/>
      <c r="C23" s="11"/>
      <c r="D23" s="11"/>
      <c r="E23" s="12"/>
      <c r="F23" s="11"/>
      <c r="G23" s="12"/>
      <c r="H23" s="12"/>
    </row>
    <row r="24" spans="1:8" x14ac:dyDescent="0.3">
      <c r="A24" s="11"/>
      <c r="B24" s="11"/>
      <c r="C24" s="11"/>
      <c r="D24" s="11"/>
      <c r="E24" s="12"/>
      <c r="F24" s="11"/>
      <c r="G24" s="12"/>
      <c r="H24" s="12"/>
    </row>
    <row r="25" spans="1:8" x14ac:dyDescent="0.3">
      <c r="A25" s="11"/>
      <c r="B25" s="11"/>
      <c r="C25" s="11"/>
      <c r="D25" s="11"/>
      <c r="E25" s="12"/>
      <c r="F25" s="11"/>
      <c r="G25" s="12"/>
      <c r="H25" s="12"/>
    </row>
    <row r="26" spans="1:8" x14ac:dyDescent="0.3">
      <c r="A26" s="13" t="str" cm="1">
        <f t="array" ref="A26:H30">_xlfn._xlws.FILTER([4]PriceList!$B:$I,[4]PriceList!$C:$C=B1)</f>
        <v>Agastya</v>
      </c>
      <c r="B26" s="13" t="str">
        <v>Chlorpyrifos 50% + Cypermethrin 5% EC</v>
      </c>
      <c r="C26" s="13" t="str">
        <v>Raise 505</v>
      </c>
      <c r="D26" s="13" t="str">
        <v>100 ML</v>
      </c>
      <c r="E26" s="14">
        <v>64.099999999999994</v>
      </c>
      <c r="F26" s="13">
        <v>18</v>
      </c>
      <c r="G26" s="14">
        <v>11.537999999999998</v>
      </c>
      <c r="H26" s="14">
        <v>75.637999999999991</v>
      </c>
    </row>
    <row r="27" spans="1:8" x14ac:dyDescent="0.3">
      <c r="A27" s="13" t="str">
        <v>Agastya</v>
      </c>
      <c r="B27" s="13" t="str">
        <v>Chlorpyrifos 50% + Cypermethrin 5% EC</v>
      </c>
      <c r="C27" s="13" t="str">
        <v>Raise 505</v>
      </c>
      <c r="D27" s="13" t="str">
        <v>1000 ML</v>
      </c>
      <c r="E27" s="14">
        <v>571</v>
      </c>
      <c r="F27" s="13">
        <v>18</v>
      </c>
      <c r="G27" s="14">
        <v>102.78</v>
      </c>
      <c r="H27" s="14">
        <v>673.78</v>
      </c>
    </row>
    <row r="28" spans="1:8" x14ac:dyDescent="0.3">
      <c r="A28" s="13" t="str">
        <v>Agastya</v>
      </c>
      <c r="B28" s="13" t="str">
        <v>Chlorpyrifos 50% + Cypermethrin 5% EC</v>
      </c>
      <c r="C28" s="13" t="str">
        <v>Raise 505</v>
      </c>
      <c r="D28" s="13" t="str">
        <v>5000 ML</v>
      </c>
      <c r="E28" s="14">
        <v>2830</v>
      </c>
      <c r="F28" s="13">
        <v>18</v>
      </c>
      <c r="G28" s="14">
        <v>509.4</v>
      </c>
      <c r="H28" s="14">
        <v>3339.4</v>
      </c>
    </row>
    <row r="29" spans="1:8" x14ac:dyDescent="0.3">
      <c r="A29" s="13" t="str">
        <v>Agastya</v>
      </c>
      <c r="B29" s="13" t="str">
        <v>Chlorpyrifos 50% + Cypermethrin 5% EC</v>
      </c>
      <c r="C29" s="13" t="str">
        <v>Raise 505</v>
      </c>
      <c r="D29" s="13" t="str">
        <v>500 ML</v>
      </c>
      <c r="E29" s="14">
        <v>291.5</v>
      </c>
      <c r="F29" s="13">
        <v>18</v>
      </c>
      <c r="G29" s="14">
        <v>52.47</v>
      </c>
      <c r="H29" s="14">
        <v>343.97</v>
      </c>
    </row>
    <row r="30" spans="1:8" x14ac:dyDescent="0.3">
      <c r="A30" s="13" t="str">
        <v>Agastya</v>
      </c>
      <c r="B30" s="13" t="str">
        <v>Chlorpyrifos 50% + Cypermethrin 5% EC</v>
      </c>
      <c r="C30" s="13" t="str">
        <v>Raise 505</v>
      </c>
      <c r="D30" s="13" t="str">
        <v>250 ML</v>
      </c>
      <c r="E30" s="14">
        <v>151.75</v>
      </c>
      <c r="F30" s="13">
        <v>18</v>
      </c>
      <c r="G30" s="14">
        <v>27.314999999999998</v>
      </c>
      <c r="H30" s="14">
        <v>179.065</v>
      </c>
    </row>
    <row r="31" spans="1:8" x14ac:dyDescent="0.3">
      <c r="A31" s="13"/>
      <c r="B31" s="13"/>
      <c r="C31" s="13"/>
      <c r="D31" s="13"/>
      <c r="E31" s="14"/>
      <c r="F31" s="13"/>
      <c r="G31" s="14"/>
      <c r="H31" s="14"/>
    </row>
    <row r="32" spans="1:8" x14ac:dyDescent="0.3">
      <c r="A32" s="13"/>
      <c r="B32" s="13"/>
      <c r="C32" s="13"/>
      <c r="D32" s="13"/>
      <c r="E32" s="14"/>
      <c r="F32" s="13"/>
      <c r="G32" s="14"/>
      <c r="H32" s="14"/>
    </row>
    <row r="33" spans="1:8" x14ac:dyDescent="0.3">
      <c r="A33" s="13"/>
      <c r="B33" s="13"/>
      <c r="C33" s="13"/>
      <c r="D33" s="13"/>
      <c r="E33" s="14"/>
      <c r="F33" s="13"/>
      <c r="G33" s="14"/>
      <c r="H33" s="14"/>
    </row>
    <row r="34" spans="1:8" x14ac:dyDescent="0.3">
      <c r="A34" s="13"/>
      <c r="B34" s="13"/>
      <c r="C34" s="13"/>
      <c r="D34" s="13"/>
      <c r="E34" s="14"/>
      <c r="F34" s="13"/>
      <c r="G34" s="14"/>
      <c r="H34" s="14"/>
    </row>
    <row r="35" spans="1:8" x14ac:dyDescent="0.3">
      <c r="A35" s="13"/>
      <c r="B35" s="13"/>
      <c r="C35" s="13"/>
      <c r="D35" s="13"/>
      <c r="E35" s="14"/>
      <c r="F35" s="13"/>
      <c r="G35" s="14"/>
      <c r="H35" s="14"/>
    </row>
    <row r="36" spans="1:8" x14ac:dyDescent="0.3">
      <c r="A36" s="13"/>
      <c r="B36" s="13"/>
      <c r="C36" s="13"/>
      <c r="D36" s="13"/>
      <c r="E36" s="14"/>
      <c r="F36" s="13"/>
      <c r="G36" s="14"/>
      <c r="H36" s="14"/>
    </row>
    <row r="37" spans="1:8" x14ac:dyDescent="0.3">
      <c r="A37" s="13"/>
      <c r="B37" s="13"/>
      <c r="C37" s="13"/>
      <c r="D37" s="13"/>
      <c r="E37" s="14"/>
      <c r="F37" s="13"/>
      <c r="G37" s="14"/>
      <c r="H37" s="14"/>
    </row>
    <row r="38" spans="1:8" x14ac:dyDescent="0.3">
      <c r="A38" s="13"/>
      <c r="B38" s="13"/>
      <c r="C38" s="13"/>
      <c r="D38" s="13"/>
      <c r="E38" s="14"/>
      <c r="F38" s="13"/>
      <c r="G38" s="14"/>
      <c r="H38" s="14"/>
    </row>
    <row r="39" spans="1:8" x14ac:dyDescent="0.3">
      <c r="A39" s="13"/>
      <c r="B39" s="13"/>
      <c r="C39" s="13"/>
      <c r="D39" s="13"/>
      <c r="E39" s="14"/>
      <c r="F39" s="13"/>
      <c r="G39" s="14"/>
      <c r="H39" s="14"/>
    </row>
    <row r="40" spans="1:8" x14ac:dyDescent="0.3">
      <c r="A40" s="25" t="str" cm="1">
        <f t="array" ref="A40:H44">_xlfn._xlws.FILTER([5]PriceList!$B:$I,[5]PriceList!$C:$C=B1)</f>
        <v>Nakasa</v>
      </c>
      <c r="B40" s="25" t="str">
        <v>Chlorpyrifos 50% + Cypermethrin 5% EC</v>
      </c>
      <c r="C40" s="25" t="str">
        <v>Sira</v>
      </c>
      <c r="D40" s="25" t="str">
        <v>100 ML</v>
      </c>
      <c r="E40" s="26">
        <v>87</v>
      </c>
      <c r="F40" s="25">
        <v>18</v>
      </c>
      <c r="G40" s="26">
        <v>15.66</v>
      </c>
      <c r="H40" s="26">
        <v>102.66</v>
      </c>
    </row>
    <row r="41" spans="1:8" x14ac:dyDescent="0.3">
      <c r="A41" s="25" t="str">
        <v>Nakasa</v>
      </c>
      <c r="B41" s="25" t="str">
        <v>Chlorpyrifos 50% + Cypermethrin 5% EC</v>
      </c>
      <c r="C41" s="25" t="str">
        <v>Sira</v>
      </c>
      <c r="D41" s="25" t="str">
        <v>250 ML</v>
      </c>
      <c r="E41" s="26">
        <v>187</v>
      </c>
      <c r="F41" s="25">
        <v>18</v>
      </c>
      <c r="G41" s="26">
        <v>33.659999999999997</v>
      </c>
      <c r="H41" s="26">
        <v>220.66</v>
      </c>
    </row>
    <row r="42" spans="1:8" x14ac:dyDescent="0.3">
      <c r="A42" s="25" t="str">
        <v>Nakasa</v>
      </c>
      <c r="B42" s="25" t="str">
        <v>Chlorpyrifos 50% + Cypermethrin 5% EC</v>
      </c>
      <c r="C42" s="25" t="str">
        <v>Sira</v>
      </c>
      <c r="D42" s="25" t="str">
        <v>500 ML</v>
      </c>
      <c r="E42" s="26">
        <v>347</v>
      </c>
      <c r="F42" s="25">
        <v>18</v>
      </c>
      <c r="G42" s="26">
        <v>62.46</v>
      </c>
      <c r="H42" s="26">
        <v>409.46</v>
      </c>
    </row>
    <row r="43" spans="1:8" x14ac:dyDescent="0.3">
      <c r="A43" s="25" t="str">
        <v>Nakasa</v>
      </c>
      <c r="B43" s="25" t="str">
        <v>Chlorpyrifos 50% + Cypermethrin 5% EC</v>
      </c>
      <c r="C43" s="25" t="str">
        <v>Sira</v>
      </c>
      <c r="D43" s="25" t="str">
        <v>1000 ML</v>
      </c>
      <c r="E43" s="26">
        <v>662</v>
      </c>
      <c r="F43" s="25">
        <v>18</v>
      </c>
      <c r="G43" s="26">
        <v>119.16</v>
      </c>
      <c r="H43" s="26">
        <v>781.16</v>
      </c>
    </row>
    <row r="44" spans="1:8" x14ac:dyDescent="0.3">
      <c r="A44" s="25" t="str">
        <v>Nakasa</v>
      </c>
      <c r="B44" s="25" t="str">
        <v>Chlorpyrifos 50% + Cypermethrin 5% EC</v>
      </c>
      <c r="C44" s="25" t="str">
        <v>Sira</v>
      </c>
      <c r="D44" s="25" t="str">
        <v>5000 ML</v>
      </c>
      <c r="E44" s="26">
        <v>3263</v>
      </c>
      <c r="F44" s="25">
        <v>18</v>
      </c>
      <c r="G44" s="26">
        <v>587.34</v>
      </c>
      <c r="H44" s="26">
        <v>3850.34</v>
      </c>
    </row>
    <row r="45" spans="1:8" x14ac:dyDescent="0.3">
      <c r="A45" s="25"/>
      <c r="B45" s="25"/>
      <c r="C45" s="25"/>
      <c r="D45" s="25"/>
      <c r="E45" s="26"/>
      <c r="F45" s="25"/>
      <c r="G45" s="26"/>
      <c r="H45" s="26"/>
    </row>
    <row r="46" spans="1:8" x14ac:dyDescent="0.3">
      <c r="A46" s="25"/>
      <c r="B46" s="25"/>
      <c r="C46" s="25"/>
      <c r="D46" s="25"/>
      <c r="E46" s="26"/>
      <c r="F46" s="25"/>
      <c r="G46" s="26"/>
      <c r="H46" s="26"/>
    </row>
  </sheetData>
  <mergeCells count="1">
    <mergeCell ref="B1:B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oToIndexSheet">
                <anchor moveWithCells="1" sizeWithCells="1">
                  <from>
                    <xdr:col>5</xdr:col>
                    <xdr:colOff>266700</xdr:colOff>
                    <xdr:row>0</xdr:row>
                    <xdr:rowOff>68580</xdr:rowOff>
                  </from>
                  <to>
                    <xdr:col>7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8D75B-438B-4EF8-982C-6D16E205BDB3}">
  <sheetPr codeName="Sheet5"/>
  <dimension ref="A1:K280"/>
  <sheetViews>
    <sheetView tabSelected="1" zoomScaleNormal="100" workbookViewId="0">
      <pane ySplit="1" topLeftCell="A2" activePane="bottomLeft" state="frozen"/>
      <selection pane="bottomLeft" activeCell="H11" sqref="H11"/>
    </sheetView>
  </sheetViews>
  <sheetFormatPr defaultRowHeight="14.4" x14ac:dyDescent="0.3"/>
  <cols>
    <col min="1" max="1" width="9.33203125" style="15" bestFit="1" customWidth="1"/>
    <col min="2" max="2" width="9.5546875" style="15" bestFit="1" customWidth="1"/>
    <col min="3" max="3" width="57.5546875" style="2" bestFit="1" customWidth="1"/>
    <col min="4" max="4" width="16.33203125" style="2" bestFit="1" customWidth="1"/>
    <col min="5" max="5" width="14.88671875" style="2" bestFit="1" customWidth="1"/>
    <col min="6" max="6" width="12.33203125" style="2" bestFit="1" customWidth="1"/>
    <col min="7" max="7" width="15.109375" style="2" bestFit="1" customWidth="1"/>
    <col min="8" max="8" width="15.109375" style="2" customWidth="1"/>
    <col min="9" max="9" width="17.88671875" style="2" bestFit="1" customWidth="1"/>
    <col min="10" max="10" width="13.21875" style="2" bestFit="1" customWidth="1"/>
    <col min="11" max="11" width="11.6640625" style="15" bestFit="1" customWidth="1"/>
    <col min="12" max="16384" width="8.88671875" style="15"/>
  </cols>
  <sheetData>
    <row r="1" spans="1:11" s="2" customFormat="1" x14ac:dyDescent="0.3">
      <c r="A1" s="19" t="s">
        <v>181</v>
      </c>
      <c r="B1" s="19" t="s">
        <v>184</v>
      </c>
      <c r="C1" s="19" t="s">
        <v>179</v>
      </c>
      <c r="D1" s="19" t="s">
        <v>176</v>
      </c>
      <c r="E1" s="19" t="s">
        <v>177</v>
      </c>
      <c r="F1" s="19" t="s">
        <v>178</v>
      </c>
      <c r="G1" s="19" t="s">
        <v>182</v>
      </c>
      <c r="H1" s="19" t="s">
        <v>331</v>
      </c>
      <c r="I1" s="19" t="s">
        <v>183</v>
      </c>
      <c r="J1" s="19" t="s">
        <v>246</v>
      </c>
      <c r="K1" s="19" t="s">
        <v>271</v>
      </c>
    </row>
    <row r="2" spans="1:11" x14ac:dyDescent="0.3">
      <c r="A2" s="18">
        <v>1</v>
      </c>
      <c r="B2" s="18"/>
      <c r="C2" s="31" t="s">
        <v>286</v>
      </c>
      <c r="D2" s="19" t="e">
        <f>VLOOKUP(C2,[1]PriceList!$C:$D,2,0)</f>
        <v>#N/A</v>
      </c>
      <c r="E2" s="19" t="e">
        <f>VLOOKUP(C2,[2]PriceList!$C:$D,2,0)</f>
        <v>#N/A</v>
      </c>
      <c r="F2" s="19" t="e">
        <f>VLOOKUP(C2,[3]PriceList!$C:$D,2,0)</f>
        <v>#N/A</v>
      </c>
      <c r="G2" s="19" t="e">
        <f>VLOOKUP(C2,[4]PriceList!$C:$D,2,0)</f>
        <v>#N/A</v>
      </c>
      <c r="H2" s="19" t="e">
        <f>VLOOKUP(C2,[6]PriceList!$C:$D,2,0)</f>
        <v>#N/A</v>
      </c>
      <c r="I2" s="19" t="str">
        <f>VLOOKUP(C2,[7]PriceList!$C:$D,2,0)</f>
        <v>Kloud Super</v>
      </c>
      <c r="J2" s="19" t="e">
        <f>VLOOKUP(C2,[5]PriceList!$C:$D,2,0)</f>
        <v>#N/A</v>
      </c>
      <c r="K2" s="18" t="e">
        <f>VLOOKUP(C2,[8]PriceList!$C:$D,2,0)</f>
        <v>#N/A</v>
      </c>
    </row>
    <row r="3" spans="1:11" x14ac:dyDescent="0.3">
      <c r="A3" s="18">
        <v>2</v>
      </c>
      <c r="B3" s="18" t="s">
        <v>196</v>
      </c>
      <c r="C3" s="19" t="s">
        <v>151</v>
      </c>
      <c r="D3" s="19" t="str">
        <f>VLOOKUP(C3,[1]PriceList!$C:$D,2,0)</f>
        <v>Hatori 77</v>
      </c>
      <c r="E3" s="19" t="str">
        <f>VLOOKUP(C3,[2]PriceList!$C:$D,2,0)</f>
        <v xml:space="preserve">Weedmine Xtra </v>
      </c>
      <c r="F3" s="19" t="e">
        <f>VLOOKUP(C3,[3]PriceList!$C:$D,2,0)</f>
        <v>#N/A</v>
      </c>
      <c r="G3" s="19" t="str">
        <f>VLOOKUP(C3,[4]PriceList!$C:$D,2,0)</f>
        <v>Sweep</v>
      </c>
      <c r="H3" s="19" t="str">
        <f>VLOOKUP(C3,[6]PriceList!$C:$D,2,0)</f>
        <v>Weed Less 58</v>
      </c>
      <c r="I3" s="19" t="str">
        <f>VLOOKUP(C3,[7]PriceList!$C:$D,2,0)</f>
        <v>Tagmin</v>
      </c>
      <c r="J3" s="19" t="str">
        <f>VLOOKUP(C3,[5]PriceList!$C:$D,2,0)</f>
        <v>Amon-D2</v>
      </c>
      <c r="K3" s="18" t="str">
        <f>VLOOKUP(C3,[8]PriceList!$C:$D,2,0)</f>
        <v>Cross</v>
      </c>
    </row>
    <row r="4" spans="1:11" x14ac:dyDescent="0.3">
      <c r="A4" s="18">
        <v>3</v>
      </c>
      <c r="B4" s="18" t="s">
        <v>197</v>
      </c>
      <c r="C4" s="31" t="s">
        <v>285</v>
      </c>
      <c r="D4" s="19" t="e">
        <f>VLOOKUP(C4,[1]PriceList!$C:$D,2,0)</f>
        <v>#N/A</v>
      </c>
      <c r="E4" s="19" t="e">
        <f>VLOOKUP(C4,[2]PriceList!$C:$D,2,0)</f>
        <v>#N/A</v>
      </c>
      <c r="F4" s="19" t="e">
        <f>VLOOKUP(C4,[3]PriceList!$C:$D,2,0)</f>
        <v>#N/A</v>
      </c>
      <c r="G4" s="19" t="e">
        <f>VLOOKUP(C4,[4]PriceList!$C:$D,2,0)</f>
        <v>#N/A</v>
      </c>
      <c r="H4" s="19" t="e">
        <f>VLOOKUP(C4,[6]PriceList!$C:$D,2,0)</f>
        <v>#N/A</v>
      </c>
      <c r="I4" s="19" t="str">
        <f>VLOOKUP(C4,[7]PriceList!$C:$D,2,0)</f>
        <v>Kilharb</v>
      </c>
      <c r="J4" s="19" t="e">
        <f>VLOOKUP(C4,[5]PriceList!$C:$D,2,0)</f>
        <v>#N/A</v>
      </c>
      <c r="K4" s="18" t="e">
        <f>VLOOKUP(C4,[8]PriceList!$C:$D,2,0)</f>
        <v>#N/A</v>
      </c>
    </row>
    <row r="5" spans="1:11" x14ac:dyDescent="0.3">
      <c r="A5" s="18">
        <v>4</v>
      </c>
      <c r="B5" s="18"/>
      <c r="C5" s="19" t="s">
        <v>36</v>
      </c>
      <c r="D5" s="19" t="str">
        <f>VLOOKUP(C5,[1]PriceList!$C:$D,2,0)</f>
        <v>Chandrayaan</v>
      </c>
      <c r="E5" s="19" t="e">
        <f>VLOOKUP(C5,[2]PriceList!$C:$D,2,0)</f>
        <v>#N/A</v>
      </c>
      <c r="F5" s="19" t="e">
        <f>VLOOKUP(C5,[3]PriceList!$C:$D,2,0)</f>
        <v>#N/A</v>
      </c>
      <c r="G5" s="19" t="str">
        <f>VLOOKUP(C5,[4]PriceList!$C:$D,2,0)</f>
        <v>Abamax</v>
      </c>
      <c r="H5" s="19" t="e">
        <f>VLOOKUP(C5,[6]PriceList!$C:$D,2,0)</f>
        <v>#N/A</v>
      </c>
      <c r="I5" s="19" t="str">
        <f>VLOOKUP(C5,[7]PriceList!$C:$D,2,0)</f>
        <v>Tagmec</v>
      </c>
      <c r="J5" s="19" t="str">
        <f>VLOOKUP(C5,[5]PriceList!$C:$D,2,0)</f>
        <v>Abocin</v>
      </c>
      <c r="K5" s="18" t="e">
        <f>VLOOKUP(C5,[8]PriceList!$C:$D,2,0)</f>
        <v>#N/A</v>
      </c>
    </row>
    <row r="6" spans="1:11" x14ac:dyDescent="0.3">
      <c r="A6" s="18">
        <v>5</v>
      </c>
      <c r="B6" s="18"/>
      <c r="C6" s="31" t="s">
        <v>288</v>
      </c>
      <c r="D6" s="19" t="e">
        <f>VLOOKUP(C6,[1]PriceList!$C:$D,2,0)</f>
        <v>#N/A</v>
      </c>
      <c r="E6" s="19" t="e">
        <f>VLOOKUP(C6,[2]PriceList!$C:$D,2,0)</f>
        <v>#N/A</v>
      </c>
      <c r="F6" s="19" t="e">
        <f>VLOOKUP(C6,[3]PriceList!$C:$D,2,0)</f>
        <v>#N/A</v>
      </c>
      <c r="G6" s="19" t="str">
        <f>VLOOKUP(C6,[4]PriceList!$C:$D,2,0)</f>
        <v>Topaz</v>
      </c>
      <c r="H6" s="19" t="e">
        <f>VLOOKUP(C6,[6]PriceList!$C:$D,2,0)</f>
        <v>#N/A</v>
      </c>
      <c r="I6" s="19" t="str">
        <f>VLOOKUP(C6,[7]PriceList!$C:$D,2,0)</f>
        <v>Tag Buphate</v>
      </c>
      <c r="J6" s="19" t="e">
        <f>VLOOKUP(C6,[5]PriceList!$C:$D,2,0)</f>
        <v>#N/A</v>
      </c>
      <c r="K6" s="18" t="e">
        <f>VLOOKUP(C6,[8]PriceList!$C:$D,2,0)</f>
        <v>#N/A</v>
      </c>
    </row>
    <row r="7" spans="1:11" x14ac:dyDescent="0.3">
      <c r="A7" s="18">
        <v>6</v>
      </c>
      <c r="B7" s="18"/>
      <c r="C7" s="19" t="s">
        <v>22</v>
      </c>
      <c r="D7" s="19" t="str">
        <f>VLOOKUP(C7,[1]PriceList!$C:$D,2,0)</f>
        <v>Aslan super</v>
      </c>
      <c r="E7" s="19" t="e">
        <f>VLOOKUP(C7,[2]PriceList!$C:$D,2,0)</f>
        <v>#N/A</v>
      </c>
      <c r="F7" s="19" t="e">
        <f>VLOOKUP(C7,[3]PriceList!$C:$D,2,0)</f>
        <v>#N/A</v>
      </c>
      <c r="G7" s="19" t="e">
        <f>VLOOKUP(C7,[4]PriceList!$C:$D,2,0)</f>
        <v>#N/A</v>
      </c>
      <c r="H7" s="19" t="e">
        <f>VLOOKUP(C7,[6]PriceList!$C:$D,2,0)</f>
        <v>#N/A</v>
      </c>
      <c r="I7" s="19" t="e">
        <f>VLOOKUP(C7,[7]PriceList!$C:$D,2,0)</f>
        <v>#N/A</v>
      </c>
      <c r="J7" s="19" t="e">
        <f>VLOOKUP(C7,[5]PriceList!$C:$D,2,0)</f>
        <v>#N/A</v>
      </c>
      <c r="K7" s="18" t="e">
        <f>VLOOKUP(C7,[8]PriceList!$C:$D,2,0)</f>
        <v>#N/A</v>
      </c>
    </row>
    <row r="8" spans="1:11" x14ac:dyDescent="0.3">
      <c r="A8" s="18">
        <v>7</v>
      </c>
      <c r="B8" s="18"/>
      <c r="C8" s="19" t="s">
        <v>43</v>
      </c>
      <c r="D8" s="19" t="str">
        <f>VLOOKUP(C8,[1]PriceList!$C:$D,2,0)</f>
        <v>Aslan gold</v>
      </c>
      <c r="E8" s="19" t="e">
        <f>VLOOKUP(C8,[2]PriceList!$C:$D,2,0)</f>
        <v>#N/A</v>
      </c>
      <c r="F8" s="19" t="e">
        <f>VLOOKUP(C8,[3]PriceList!$C:$D,2,0)</f>
        <v>#N/A</v>
      </c>
      <c r="G8" s="19" t="str">
        <f>VLOOKUP(C8,[4]PriceList!$C:$D,2,0)</f>
        <v>Destrol Gold</v>
      </c>
      <c r="H8" s="19" t="e">
        <f>VLOOKUP(C8,[6]PriceList!$C:$D,2,0)</f>
        <v>#N/A</v>
      </c>
      <c r="I8" s="19" t="e">
        <f>VLOOKUP(C8,[7]PriceList!$C:$D,2,0)</f>
        <v>#N/A</v>
      </c>
      <c r="J8" s="19" t="e">
        <f>VLOOKUP(C8,[5]PriceList!$C:$D,2,0)</f>
        <v>#N/A</v>
      </c>
      <c r="K8" s="18" t="e">
        <f>VLOOKUP(C8,[8]PriceList!$C:$D,2,0)</f>
        <v>#N/A</v>
      </c>
    </row>
    <row r="9" spans="1:11" x14ac:dyDescent="0.3">
      <c r="A9" s="18">
        <v>8</v>
      </c>
      <c r="B9" s="18"/>
      <c r="C9" s="28" t="s">
        <v>266</v>
      </c>
      <c r="D9" s="19" t="e">
        <f>VLOOKUP(C9,[1]PriceList!$C:$D,2,0)</f>
        <v>#N/A</v>
      </c>
      <c r="E9" s="19" t="e">
        <f>VLOOKUP(C9,[2]PriceList!$C:$D,2,0)</f>
        <v>#N/A</v>
      </c>
      <c r="F9" s="19" t="e">
        <f>VLOOKUP(C9,[3]PriceList!$C:$D,2,0)</f>
        <v>#N/A</v>
      </c>
      <c r="G9" s="19" t="str">
        <f>VLOOKUP(C9,[4]PriceList!$C:$D,2,0)</f>
        <v>Destrol</v>
      </c>
      <c r="H9" s="19" t="e">
        <f>VLOOKUP(C9,[6]PriceList!$C:$D,2,0)</f>
        <v>#N/A</v>
      </c>
      <c r="I9" s="19" t="e">
        <f>VLOOKUP(C9,[7]PriceList!$C:$D,2,0)</f>
        <v>#N/A</v>
      </c>
      <c r="J9" s="19" t="e">
        <f>VLOOKUP(C9,[5]PriceList!$C:$D,2,0)</f>
        <v>#N/A</v>
      </c>
      <c r="K9" s="18" t="str">
        <f>VLOOKUP(C9,[8]PriceList!$C:$D,2,0)</f>
        <v>Chettak</v>
      </c>
    </row>
    <row r="10" spans="1:11" x14ac:dyDescent="0.3">
      <c r="A10" s="18">
        <v>9</v>
      </c>
      <c r="B10" s="18"/>
      <c r="C10" s="19" t="s">
        <v>206</v>
      </c>
      <c r="D10" s="19" t="str">
        <f>VLOOKUP(C10,[1]PriceList!$C:$D,2,0)</f>
        <v>Yogasan</v>
      </c>
      <c r="E10" s="19" t="e">
        <f>VLOOKUP(C10,[2]PriceList!$C:$D,2,0)</f>
        <v>#N/A</v>
      </c>
      <c r="F10" s="19" t="e">
        <f>VLOOKUP(C10,[3]PriceList!$C:$D,2,0)</f>
        <v>#N/A</v>
      </c>
      <c r="G10" s="19" t="e">
        <f>VLOOKUP(C10,[4]PriceList!$C:$D,2,0)</f>
        <v>#N/A</v>
      </c>
      <c r="H10" s="19" t="e">
        <f>VLOOKUP(C10,[6]PriceList!$C:$D,2,0)</f>
        <v>#N/A</v>
      </c>
      <c r="I10" s="19" t="e">
        <f>VLOOKUP(C10,[7]PriceList!$C:$D,2,0)</f>
        <v>#N/A</v>
      </c>
      <c r="J10" s="19" t="e">
        <f>VLOOKUP(C10,[5]PriceList!$C:$D,2,0)</f>
        <v>#N/A</v>
      </c>
      <c r="K10" s="18" t="e">
        <f>VLOOKUP(C10,[8]PriceList!$C:$D,2,0)</f>
        <v>#N/A</v>
      </c>
    </row>
    <row r="11" spans="1:11" x14ac:dyDescent="0.3">
      <c r="A11" s="18">
        <v>10</v>
      </c>
      <c r="B11" s="18"/>
      <c r="C11" s="19" t="s">
        <v>45</v>
      </c>
      <c r="D11" s="19" t="str">
        <f>VLOOKUP(C11,[1]PriceList!$C:$D,2,0)</f>
        <v>Cyberban</v>
      </c>
      <c r="E11" s="19" t="e">
        <f>VLOOKUP(C11,[2]PriceList!$C:$D,2,0)</f>
        <v>#N/A</v>
      </c>
      <c r="F11" s="19" t="e">
        <f>VLOOKUP(C11,[3]PriceList!$C:$D,2,0)</f>
        <v>#N/A</v>
      </c>
      <c r="G11" s="19" t="e">
        <f>VLOOKUP(C11,[4]PriceList!$C:$D,2,0)</f>
        <v>#N/A</v>
      </c>
      <c r="H11" s="19" t="e">
        <f>VLOOKUP(C11,[6]PriceList!$C:$D,2,0)</f>
        <v>#N/A</v>
      </c>
      <c r="I11" s="19" t="e">
        <f>VLOOKUP(C11,[7]PriceList!$C:$D,2,0)</f>
        <v>#N/A</v>
      </c>
      <c r="J11" s="19" t="e">
        <f>VLOOKUP(C11,[5]PriceList!$C:$D,2,0)</f>
        <v>#N/A</v>
      </c>
      <c r="K11" s="18" t="e">
        <f>VLOOKUP(C11,[8]PriceList!$C:$D,2,0)</f>
        <v>#N/A</v>
      </c>
    </row>
    <row r="12" spans="1:11" x14ac:dyDescent="0.3">
      <c r="A12" s="18">
        <v>11</v>
      </c>
      <c r="B12" s="18" t="s">
        <v>198</v>
      </c>
      <c r="C12" s="19" t="s">
        <v>27</v>
      </c>
      <c r="D12" s="19" t="str">
        <f>VLOOKUP(C12,[1]PriceList!$C:$D,2,0)</f>
        <v>Shabaas</v>
      </c>
      <c r="E12" s="19" t="str">
        <f>VLOOKUP(C12,[2]PriceList!$C:$D,2,0)</f>
        <v>San A-20</v>
      </c>
      <c r="F12" s="19" t="str">
        <f>VLOOKUP(C12,[3]PriceList!$C:$D,2,0)</f>
        <v>Axtra</v>
      </c>
      <c r="G12" s="19" t="str">
        <f>VLOOKUP(C12,[4]PriceList!$C:$D,2,0)</f>
        <v>Aalprid</v>
      </c>
      <c r="H12" s="19" t="str">
        <f>VLOOKUP(C12,[6]PriceList!$C:$D,2,0)</f>
        <v>Pound</v>
      </c>
      <c r="I12" s="19" t="str">
        <f>VLOOKUP(C12,[7]PriceList!$C:$D,2,0)</f>
        <v>Tagride</v>
      </c>
      <c r="J12" s="19" t="str">
        <f>VLOOKUP(C12,[5]PriceList!$C:$D,2,0)</f>
        <v>Romaunko</v>
      </c>
      <c r="K12" s="18" t="e">
        <f>VLOOKUP(C12,[8]PriceList!$C:$D,2,0)</f>
        <v>#N/A</v>
      </c>
    </row>
    <row r="13" spans="1:11" x14ac:dyDescent="0.3">
      <c r="A13" s="18">
        <v>12</v>
      </c>
      <c r="B13" s="18"/>
      <c r="C13" s="31" t="s">
        <v>304</v>
      </c>
      <c r="D13" s="19" t="e">
        <f>VLOOKUP(C13,[1]PriceList!$C:$D,2,0)</f>
        <v>#N/A</v>
      </c>
      <c r="E13" s="19" t="e">
        <f>VLOOKUP(C13,[2]PriceList!$C:$D,2,0)</f>
        <v>#N/A</v>
      </c>
      <c r="F13" s="19" t="e">
        <f>VLOOKUP(C13,[3]PriceList!$C:$D,2,0)</f>
        <v>#N/A</v>
      </c>
      <c r="G13" s="19" t="e">
        <f>VLOOKUP(C13,[4]PriceList!$C:$D,2,0)</f>
        <v>#N/A</v>
      </c>
      <c r="H13" s="19" t="e">
        <f>VLOOKUP(C13,[6]PriceList!$C:$D,2,0)</f>
        <v>#N/A</v>
      </c>
      <c r="I13" s="19" t="str">
        <f>VLOOKUP(C13,[7]PriceList!$C:$D,2,0)</f>
        <v>Tagbio Gold</v>
      </c>
      <c r="J13" s="19" t="e">
        <f>VLOOKUP(C13,[5]PriceList!$C:$D,2,0)</f>
        <v>#N/A</v>
      </c>
      <c r="K13" s="18" t="e">
        <f>VLOOKUP(C13,[8]PriceList!$C:$D,2,0)</f>
        <v>#N/A</v>
      </c>
    </row>
    <row r="14" spans="1:11" x14ac:dyDescent="0.3">
      <c r="A14" s="18">
        <v>13</v>
      </c>
      <c r="B14" s="18"/>
      <c r="C14" s="19" t="s">
        <v>139</v>
      </c>
      <c r="D14" s="19" t="e">
        <f>VLOOKUP(C14,[1]PriceList!$C:$D,2,0)</f>
        <v>#N/A</v>
      </c>
      <c r="E14" s="19" t="str">
        <f>VLOOKUP(C14,[2]PriceList!$C:$D,2,0)</f>
        <v>San Alpha Plus</v>
      </c>
      <c r="F14" s="19" t="e">
        <f>VLOOKUP(C14,[3]PriceList!$C:$D,2,0)</f>
        <v>#N/A</v>
      </c>
      <c r="G14" s="19" t="e">
        <f>VLOOKUP(C14,[4]PriceList!$C:$D,2,0)</f>
        <v>#N/A</v>
      </c>
      <c r="H14" s="19" t="e">
        <f>VLOOKUP(C14,[6]PriceList!$C:$D,2,0)</f>
        <v>#N/A</v>
      </c>
      <c r="I14" s="19" t="e">
        <f>VLOOKUP(C14,[7]PriceList!$C:$D,2,0)</f>
        <v>#N/A</v>
      </c>
      <c r="J14" s="19" t="str">
        <f>VLOOKUP(C14,[5]PriceList!$C:$D,2,0)</f>
        <v>Arizona</v>
      </c>
      <c r="K14" s="18" t="e">
        <f>VLOOKUP(C14,[8]PriceList!$C:$D,2,0)</f>
        <v>#N/A</v>
      </c>
    </row>
    <row r="15" spans="1:11" x14ac:dyDescent="0.3">
      <c r="A15" s="18">
        <v>14</v>
      </c>
      <c r="B15" s="18"/>
      <c r="C15" s="19" t="s">
        <v>116</v>
      </c>
      <c r="D15" s="19" t="str">
        <f>VLOOKUP(C15,[1]PriceList!$C:$D,2,0)</f>
        <v>Aafreen</v>
      </c>
      <c r="E15" s="19" t="e">
        <f>VLOOKUP(C15,[2]PriceList!$C:$D,2,0)</f>
        <v>#N/A</v>
      </c>
      <c r="F15" s="19" t="e">
        <f>VLOOKUP(C15,[3]PriceList!$C:$D,2,0)</f>
        <v>#N/A</v>
      </c>
      <c r="G15" s="19" t="e">
        <f>VLOOKUP(C15,[4]PriceList!$C:$D,2,0)</f>
        <v>#N/A</v>
      </c>
      <c r="H15" s="19" t="e">
        <f>VLOOKUP(C15,[6]PriceList!$C:$D,2,0)</f>
        <v>#N/A</v>
      </c>
      <c r="I15" s="19" t="e">
        <f>VLOOKUP(C15,[7]PriceList!$C:$D,2,0)</f>
        <v>#N/A</v>
      </c>
      <c r="J15" s="19" t="str">
        <f>VLOOKUP(C15,[5]PriceList!$C:$D,2,0)</f>
        <v>Sobhit</v>
      </c>
      <c r="K15" s="18" t="e">
        <f>VLOOKUP(C15,[8]PriceList!$C:$D,2,0)</f>
        <v>#N/A</v>
      </c>
    </row>
    <row r="16" spans="1:11" x14ac:dyDescent="0.3">
      <c r="A16" s="18">
        <v>15</v>
      </c>
      <c r="B16" s="18"/>
      <c r="C16" s="19" t="s">
        <v>79</v>
      </c>
      <c r="D16" s="19" t="str">
        <f>VLOOKUP(C16,[1]PriceList!$C:$D,2,0)</f>
        <v>Assassin</v>
      </c>
      <c r="E16" s="19" t="e">
        <f>VLOOKUP(C16,[2]PriceList!$C:$D,2,0)</f>
        <v>#N/A</v>
      </c>
      <c r="F16" s="19" t="e">
        <f>VLOOKUP(C16,[3]PriceList!$C:$D,2,0)</f>
        <v>#N/A</v>
      </c>
      <c r="G16" s="19" t="e">
        <f>VLOOKUP(C16,[4]PriceList!$C:$D,2,0)</f>
        <v>#N/A</v>
      </c>
      <c r="H16" s="19" t="e">
        <f>VLOOKUP(C16,[6]PriceList!$C:$D,2,0)</f>
        <v>#N/A</v>
      </c>
      <c r="I16" s="19" t="str">
        <f>VLOOKUP(C16,[7]PriceList!$C:$D,2,0)</f>
        <v>Tagtrin</v>
      </c>
      <c r="J16" s="19" t="e">
        <f>VLOOKUP(C16,[5]PriceList!$C:$D,2,0)</f>
        <v>#N/A</v>
      </c>
      <c r="K16" s="18" t="str">
        <f>VLOOKUP(C16,[8]PriceList!$C:$D,2,0)</f>
        <v>Tamper</v>
      </c>
    </row>
    <row r="17" spans="1:11" x14ac:dyDescent="0.3">
      <c r="A17" s="18">
        <v>16</v>
      </c>
      <c r="B17" s="18" t="s">
        <v>185</v>
      </c>
      <c r="C17" s="19" t="s">
        <v>75</v>
      </c>
      <c r="D17" s="19" t="str">
        <f>VLOOKUP(C17,[1]PriceList!$C:$D,2,0)</f>
        <v>Attorney</v>
      </c>
      <c r="E17" s="19" t="str">
        <f>VLOOKUP(C17,[2]PriceList!$C:$D,2,0)</f>
        <v>Sanzine</v>
      </c>
      <c r="F17" s="19" t="e">
        <f>VLOOKUP(C17,[3]PriceList!$C:$D,2,0)</f>
        <v>#N/A</v>
      </c>
      <c r="G17" s="19" t="str">
        <f>VLOOKUP(C17,[4]PriceList!$C:$D,2,0)</f>
        <v>Aaltrazine</v>
      </c>
      <c r="H17" s="19" t="str">
        <f>VLOOKUP(C17,[6]PriceList!$C:$D,2,0)</f>
        <v>Tohfa</v>
      </c>
      <c r="I17" s="19" t="str">
        <f>VLOOKUP(C17,[7]PriceList!$C:$D,2,0)</f>
        <v>Tagtaf</v>
      </c>
      <c r="J17" s="19" t="str">
        <f>VLOOKUP(C17,[5]PriceList!$C:$D,2,0)</f>
        <v>Atro</v>
      </c>
      <c r="K17" s="18" t="str">
        <f>VLOOKUP(C17,[8]PriceList!$C:$D,2,0)</f>
        <v>Xtrazine</v>
      </c>
    </row>
    <row r="18" spans="1:11" x14ac:dyDescent="0.3">
      <c r="A18" s="18">
        <v>17</v>
      </c>
      <c r="B18" s="18"/>
      <c r="C18" s="19" t="s">
        <v>41</v>
      </c>
      <c r="D18" s="19" t="str">
        <f>VLOOKUP(C18,[1]PriceList!$C:$D,2,0)</f>
        <v>Zonata super</v>
      </c>
      <c r="E18" s="19" t="e">
        <f>VLOOKUP(C18,[2]PriceList!$C:$D,2,0)</f>
        <v>#N/A</v>
      </c>
      <c r="F18" s="19" t="e">
        <f>VLOOKUP(C18,[3]PriceList!$C:$D,2,0)</f>
        <v>#N/A</v>
      </c>
      <c r="G18" s="19" t="str">
        <f>VLOOKUP(C18,[4]PriceList!$C:$D,2,0)</f>
        <v>Azaal</v>
      </c>
      <c r="H18" s="19" t="e">
        <f>VLOOKUP(C18,[6]PriceList!$C:$D,2,0)</f>
        <v>#N/A</v>
      </c>
      <c r="I18" s="19" t="e">
        <f>VLOOKUP(C18,[7]PriceList!$C:$D,2,0)</f>
        <v>#N/A</v>
      </c>
      <c r="J18" s="19" t="e">
        <f>VLOOKUP(C18,[5]PriceList!$C:$D,2,0)</f>
        <v>#N/A</v>
      </c>
      <c r="K18" s="18" t="e">
        <f>VLOOKUP(C18,[8]PriceList!$C:$D,2,0)</f>
        <v>#N/A</v>
      </c>
    </row>
    <row r="19" spans="1:11" x14ac:dyDescent="0.3">
      <c r="A19" s="18">
        <v>18</v>
      </c>
      <c r="B19" s="18"/>
      <c r="C19" s="19" t="s">
        <v>49</v>
      </c>
      <c r="D19" s="19" t="str">
        <f>VLOOKUP(C19,[1]PriceList!$C:$D,2,0)</f>
        <v>Takeshi</v>
      </c>
      <c r="E19" s="19" t="str">
        <f>VLOOKUP(C19,[2]PriceList!$C:$D,2,0)</f>
        <v>San Azot</v>
      </c>
      <c r="F19" s="19" t="str">
        <f>VLOOKUP(C19,[3]PriceList!$C:$D,2,0)</f>
        <v xml:space="preserve">Texas
</v>
      </c>
      <c r="G19" s="19" t="str">
        <f>VLOOKUP(C19,[4]PriceList!$C:$D,2,0)</f>
        <v>Aaltrump</v>
      </c>
      <c r="H19" s="19" t="str">
        <f>VLOOKUP(C19,[6]PriceList!$C:$D,2,0)</f>
        <v>Viber</v>
      </c>
      <c r="I19" s="19" t="str">
        <f>VLOOKUP(C19,[7]PriceList!$C:$D,2,0)</f>
        <v>Dion</v>
      </c>
      <c r="J19" s="19" t="str">
        <f>VLOOKUP(C19,[5]PriceList!$C:$D,2,0)</f>
        <v>Taradhipa</v>
      </c>
      <c r="K19" s="18" t="str">
        <f>VLOOKUP(C19,[8]PriceList!$C:$D,2,0)</f>
        <v>Esteem</v>
      </c>
    </row>
    <row r="20" spans="1:11" x14ac:dyDescent="0.3">
      <c r="A20" s="18">
        <v>19</v>
      </c>
      <c r="B20" s="18"/>
      <c r="C20" s="31" t="s">
        <v>290</v>
      </c>
      <c r="D20" s="19" t="e">
        <f>VLOOKUP(C20,[1]PriceList!$C:$D,2,0)</f>
        <v>#N/A</v>
      </c>
      <c r="E20" s="19" t="e">
        <f>VLOOKUP(C20,[2]PriceList!$C:$D,2,0)</f>
        <v>#N/A</v>
      </c>
      <c r="F20" s="19" t="e">
        <f>VLOOKUP(C20,[3]PriceList!$C:$D,2,0)</f>
        <v>#N/A</v>
      </c>
      <c r="G20" s="19" t="e">
        <f>VLOOKUP(C20,[4]PriceList!$C:$D,2,0)</f>
        <v>#N/A</v>
      </c>
      <c r="H20" s="19" t="e">
        <f>VLOOKUP(C20,[6]PriceList!$C:$D,2,0)</f>
        <v>#N/A</v>
      </c>
      <c r="I20" s="19" t="str">
        <f>VLOOKUP(C20,[7]PriceList!$C:$D,2,0)</f>
        <v>Tag Trix</v>
      </c>
      <c r="J20" s="19" t="e">
        <f>VLOOKUP(C20,[5]PriceList!$C:$D,2,0)</f>
        <v>#N/A</v>
      </c>
      <c r="K20" s="18" t="e">
        <f>VLOOKUP(C20,[8]PriceList!$C:$D,2,0)</f>
        <v>#N/A</v>
      </c>
    </row>
    <row r="21" spans="1:11" x14ac:dyDescent="0.3">
      <c r="A21" s="18">
        <v>20</v>
      </c>
      <c r="B21" s="18"/>
      <c r="C21" s="19" t="s">
        <v>50</v>
      </c>
      <c r="D21" s="19" t="str">
        <f>VLOOKUP(C21,[1]PriceList!$C:$D,2,0)</f>
        <v>Takshila</v>
      </c>
      <c r="E21" s="19" t="str">
        <f>VLOOKUP(C21,[2]PriceList!$C:$D,2,0)</f>
        <v>Stofen</v>
      </c>
      <c r="F21" s="19" t="str">
        <f>VLOOKUP(C21,[3]PriceList!$C:$D,2,0)</f>
        <v>Texas Top</v>
      </c>
      <c r="G21" s="19" t="str">
        <f>VLOOKUP(C21,[4]PriceList!$C:$D,2,0)</f>
        <v>Ag-Top</v>
      </c>
      <c r="H21" s="19" t="str">
        <f>VLOOKUP(C21,[6]PriceList!$C:$D,2,0)</f>
        <v>Bilstar Top</v>
      </c>
      <c r="I21" s="19" t="str">
        <f>VLOOKUP(C21,[7]PriceList!$C:$D,2,0)</f>
        <v>Tag Minister</v>
      </c>
      <c r="J21" s="19" t="str">
        <f>VLOOKUP(C21,[5]PriceList!$C:$D,2,0)</f>
        <v>Manjima Top</v>
      </c>
      <c r="K21" s="18" t="str">
        <f>VLOOKUP(C21,[8]PriceList!$C:$D,2,0)</f>
        <v>Dronex</v>
      </c>
    </row>
    <row r="22" spans="1:11" x14ac:dyDescent="0.3">
      <c r="A22" s="18">
        <v>21</v>
      </c>
      <c r="B22" s="18"/>
      <c r="C22" s="19" t="s">
        <v>60</v>
      </c>
      <c r="D22" s="19" t="str">
        <f>VLOOKUP(C22,[1]PriceList!$C:$D,2,0)</f>
        <v>Kazuki gold</v>
      </c>
      <c r="E22" s="19" t="e">
        <f>VLOOKUP(C22,[2]PriceList!$C:$D,2,0)</f>
        <v>#N/A</v>
      </c>
      <c r="F22" s="19" t="e">
        <f>VLOOKUP(C22,[3]PriceList!$C:$D,2,0)</f>
        <v>#N/A</v>
      </c>
      <c r="G22" s="19" t="e">
        <f>VLOOKUP(C22,[4]PriceList!$C:$D,2,0)</f>
        <v>#N/A</v>
      </c>
      <c r="H22" s="19" t="e">
        <f>VLOOKUP(C22,[6]PriceList!$C:$D,2,0)</f>
        <v>#N/A</v>
      </c>
      <c r="I22" s="19" t="e">
        <f>VLOOKUP(C22,[7]PriceList!$C:$D,2,0)</f>
        <v>#N/A</v>
      </c>
      <c r="J22" s="19" t="e">
        <f>VLOOKUP(C22,[5]PriceList!$C:$D,2,0)</f>
        <v>#N/A</v>
      </c>
      <c r="K22" s="18" t="e">
        <f>VLOOKUP(C22,[8]PriceList!$C:$D,2,0)</f>
        <v>#N/A</v>
      </c>
    </row>
    <row r="23" spans="1:11" x14ac:dyDescent="0.3">
      <c r="A23" s="18">
        <v>22</v>
      </c>
      <c r="B23" s="18"/>
      <c r="C23" s="19" t="s">
        <v>51</v>
      </c>
      <c r="D23" s="19" t="str">
        <f>VLOOKUP(C23,[1]PriceList!$C:$D,2,0)</f>
        <v>Mechanic</v>
      </c>
      <c r="E23" s="19" t="e">
        <f>VLOOKUP(C23,[2]PriceList!$C:$D,2,0)</f>
        <v>#N/A</v>
      </c>
      <c r="F23" s="19" t="e">
        <f>VLOOKUP(C23,[3]PriceList!$C:$D,2,0)</f>
        <v>#N/A</v>
      </c>
      <c r="G23" s="19" t="str">
        <f>VLOOKUP(C23,[4]PriceList!$C:$D,2,0)</f>
        <v>Garuda</v>
      </c>
      <c r="H23" s="19" t="e">
        <f>VLOOKUP(C23,[6]PriceList!$C:$D,2,0)</f>
        <v>#N/A</v>
      </c>
      <c r="I23" s="19" t="e">
        <f>VLOOKUP(C23,[7]PriceList!$C:$D,2,0)</f>
        <v>#N/A</v>
      </c>
      <c r="J23" s="19" t="e">
        <f>VLOOKUP(C23,[5]PriceList!$C:$D,2,0)</f>
        <v>#N/A</v>
      </c>
      <c r="K23" s="18" t="e">
        <f>VLOOKUP(C23,[8]PriceList!$C:$D,2,0)</f>
        <v>#N/A</v>
      </c>
    </row>
    <row r="24" spans="1:11" x14ac:dyDescent="0.3">
      <c r="A24" s="18">
        <v>23</v>
      </c>
      <c r="B24" s="18"/>
      <c r="C24" s="28" t="s">
        <v>269</v>
      </c>
      <c r="D24" s="19" t="str">
        <f>VLOOKUP(C24,[1]PriceList!$C:$D,2,0)</f>
        <v>Shakalaka</v>
      </c>
      <c r="E24" s="19" t="e">
        <f>VLOOKUP(C24,[2]PriceList!$C:$D,2,0)</f>
        <v>#N/A</v>
      </c>
      <c r="F24" s="19" t="e">
        <f>VLOOKUP(C24,[3]PriceList!$C:$D,2,0)</f>
        <v>#N/A</v>
      </c>
      <c r="G24" s="19" t="e">
        <f>VLOOKUP(C24,[4]PriceList!$C:$D,2,0)</f>
        <v>#N/A</v>
      </c>
      <c r="H24" s="19" t="e">
        <f>VLOOKUP(C24,[6]PriceList!$C:$D,2,0)</f>
        <v>#N/A</v>
      </c>
      <c r="I24" s="19" t="e">
        <f>VLOOKUP(C24,[7]PriceList!$C:$D,2,0)</f>
        <v>#N/A</v>
      </c>
      <c r="J24" s="19" t="e">
        <f>VLOOKUP(C24,[5]PriceList!$C:$D,2,0)</f>
        <v>#N/A</v>
      </c>
      <c r="K24" s="18" t="e">
        <f>VLOOKUP(C24,[8]PriceList!$C:$D,2,0)</f>
        <v>#N/A</v>
      </c>
    </row>
    <row r="25" spans="1:11" x14ac:dyDescent="0.3">
      <c r="A25" s="18">
        <v>24</v>
      </c>
      <c r="B25" s="18"/>
      <c r="C25" s="19" t="s">
        <v>31</v>
      </c>
      <c r="D25" s="19" t="str">
        <f>VLOOKUP(C25,[1]PriceList!$C:$D,2,0)</f>
        <v>Submarine od</v>
      </c>
      <c r="E25" s="19" t="e">
        <f>VLOOKUP(C25,[2]PriceList!$C:$D,2,0)</f>
        <v>#N/A</v>
      </c>
      <c r="F25" s="19" t="e">
        <f>VLOOKUP(C25,[3]PriceList!$C:$D,2,0)</f>
        <v>#N/A</v>
      </c>
      <c r="G25" s="19" t="e">
        <f>VLOOKUP(C25,[4]PriceList!$C:$D,2,0)</f>
        <v>#N/A</v>
      </c>
      <c r="H25" s="19" t="e">
        <f>VLOOKUP(C25,[6]PriceList!$C:$D,2,0)</f>
        <v>#N/A</v>
      </c>
      <c r="I25" s="19" t="e">
        <f>VLOOKUP(C25,[7]PriceList!$C:$D,2,0)</f>
        <v>#N/A</v>
      </c>
      <c r="J25" s="19" t="e">
        <f>VLOOKUP(C25,[5]PriceList!$C:$D,2,0)</f>
        <v>#N/A</v>
      </c>
      <c r="K25" s="18" t="e">
        <f>VLOOKUP(C25,[8]PriceList!$C:$D,2,0)</f>
        <v>#N/A</v>
      </c>
    </row>
    <row r="26" spans="1:11" x14ac:dyDescent="0.3">
      <c r="A26" s="18">
        <v>25</v>
      </c>
      <c r="B26" s="18"/>
      <c r="C26" s="19" t="s">
        <v>44</v>
      </c>
      <c r="D26" s="19" t="str">
        <f>VLOOKUP(C26,[1]PriceList!$C:$D,2,0)</f>
        <v>Antriksha</v>
      </c>
      <c r="E26" s="19" t="str">
        <f>VLOOKUP(C26,[2]PriceList!$C:$D,2,0)</f>
        <v>San Bif 10</v>
      </c>
      <c r="F26" s="19" t="str">
        <f>VLOOKUP(C26,[3]PriceList!$C:$D,2,0)</f>
        <v>Gangstar</v>
      </c>
      <c r="G26" s="19" t="str">
        <f>VLOOKUP(C26,[4]PriceList!$C:$D,2,0)</f>
        <v>Aalstar</v>
      </c>
      <c r="H26" s="19" t="e">
        <f>VLOOKUP(C26,[6]PriceList!$C:$D,2,0)</f>
        <v>#N/A</v>
      </c>
      <c r="I26" s="19" t="str">
        <f>VLOOKUP(C26,[7]PriceList!$C:$D,2,0)</f>
        <v>Bannerr</v>
      </c>
      <c r="J26" s="19" t="str">
        <f>VLOOKUP(C26,[5]PriceList!$C:$D,2,0)</f>
        <v>Garima</v>
      </c>
      <c r="K26" s="18" t="str">
        <f>VLOOKUP(C26,[8]PriceList!$C:$D,2,0)</f>
        <v>Player</v>
      </c>
    </row>
    <row r="27" spans="1:11" x14ac:dyDescent="0.3">
      <c r="A27" s="18">
        <v>26</v>
      </c>
      <c r="B27" s="18"/>
      <c r="C27" s="19" t="s">
        <v>33</v>
      </c>
      <c r="D27" s="19" t="str">
        <f>VLOOKUP(C27,[1]PriceList!$C:$D,2,0)</f>
        <v>Antriksha gold</v>
      </c>
      <c r="E27" s="19" t="e">
        <f>VLOOKUP(C27,[2]PriceList!$C:$D,2,0)</f>
        <v>#N/A</v>
      </c>
      <c r="F27" s="19" t="e">
        <f>VLOOKUP(C27,[3]PriceList!$C:$D,2,0)</f>
        <v>#N/A</v>
      </c>
      <c r="G27" s="19" t="e">
        <f>VLOOKUP(C27,[4]PriceList!$C:$D,2,0)</f>
        <v>#N/A</v>
      </c>
      <c r="H27" s="19" t="e">
        <f>VLOOKUP(C27,[6]PriceList!$C:$D,2,0)</f>
        <v>#N/A</v>
      </c>
      <c r="I27" s="19" t="e">
        <f>VLOOKUP(C27,[7]PriceList!$C:$D,2,0)</f>
        <v>#N/A</v>
      </c>
      <c r="J27" s="19" t="e">
        <f>VLOOKUP(C27,[5]PriceList!$C:$D,2,0)</f>
        <v>#N/A</v>
      </c>
      <c r="K27" s="18" t="str">
        <f>VLOOKUP(C27,[8]PriceList!$C:$D,2,0)</f>
        <v>Batter</v>
      </c>
    </row>
    <row r="28" spans="1:11" x14ac:dyDescent="0.3">
      <c r="A28" s="18">
        <v>27</v>
      </c>
      <c r="B28" s="18"/>
      <c r="C28" s="28" t="s">
        <v>256</v>
      </c>
      <c r="D28" s="19" t="e">
        <f>VLOOKUP(C28,[1]PriceList!$C:$D,2,0)</f>
        <v>#N/A</v>
      </c>
      <c r="E28" s="19" t="e">
        <f>VLOOKUP(C28,[2]PriceList!$C:$D,2,0)</f>
        <v>#N/A</v>
      </c>
      <c r="F28" s="19" t="e">
        <f>VLOOKUP(C28,[3]PriceList!$C:$D,2,0)</f>
        <v>#N/A</v>
      </c>
      <c r="G28" s="19" t="e">
        <f>VLOOKUP(C28,[4]PriceList!$C:$D,2,0)</f>
        <v>#N/A</v>
      </c>
      <c r="H28" s="19" t="e">
        <f>VLOOKUP(C28,[6]PriceList!$C:$D,2,0)</f>
        <v>#N/A</v>
      </c>
      <c r="I28" s="19" t="str">
        <f>VLOOKUP(C28,[7]PriceList!$C:$D,2,0)</f>
        <v>Miny Max</v>
      </c>
      <c r="J28" s="19" t="e">
        <f>VLOOKUP(C28,[5]PriceList!$C:$D,2,0)</f>
        <v>#N/A</v>
      </c>
      <c r="K28" s="18" t="str">
        <f>VLOOKUP(C28,[8]PriceList!$C:$D,2,0)</f>
        <v>Gold Coin GR</v>
      </c>
    </row>
    <row r="29" spans="1:11" x14ac:dyDescent="0.3">
      <c r="A29" s="18">
        <v>28</v>
      </c>
      <c r="B29" s="18" t="s">
        <v>194</v>
      </c>
      <c r="C29" s="19" t="s">
        <v>99</v>
      </c>
      <c r="D29" s="19" t="str">
        <f>VLOOKUP(C29,[1]PriceList!$C:$D,2,0)</f>
        <v>Zenbu</v>
      </c>
      <c r="E29" s="19" t="str">
        <f>VLOOKUP(C29,[2]PriceList!$C:$D,2,0)</f>
        <v>San Biss</v>
      </c>
      <c r="F29" s="19" t="e">
        <f>VLOOKUP(C29,[3]PriceList!$C:$D,2,0)</f>
        <v>#N/A</v>
      </c>
      <c r="G29" s="19" t="str">
        <f>VLOOKUP(C29,[4]PriceList!$C:$D,2,0)</f>
        <v>Agastya Gold</v>
      </c>
      <c r="H29" s="19" t="str">
        <f>VLOOKUP(C29,[6]PriceList!$C:$D,2,0)</f>
        <v>Funai</v>
      </c>
      <c r="I29" s="19" t="str">
        <f>VLOOKUP(C29,[7]PriceList!$C:$D,2,0)</f>
        <v>Tagwin</v>
      </c>
      <c r="J29" s="19" t="str">
        <f>VLOOKUP(C29,[5]PriceList!$C:$D,2,0)</f>
        <v>Nakasa Gold</v>
      </c>
      <c r="K29" s="18" t="e">
        <f>VLOOKUP(C29,[8]PriceList!$C:$D,2,0)</f>
        <v>#N/A</v>
      </c>
    </row>
    <row r="30" spans="1:11" x14ac:dyDescent="0.3">
      <c r="A30" s="18">
        <v>29</v>
      </c>
      <c r="B30" s="18"/>
      <c r="C30" s="28" t="s">
        <v>213</v>
      </c>
      <c r="D30" s="19" t="str">
        <f>VLOOKUP(C30,[1]PriceList!$C:$D,2,0)</f>
        <v>Chowkidar Gold</v>
      </c>
      <c r="E30" s="19" t="e">
        <f>VLOOKUP(C30,[2]PriceList!$C:$D,2,0)</f>
        <v>#N/A</v>
      </c>
      <c r="F30" s="19" t="e">
        <f>VLOOKUP(C30,[3]PriceList!$C:$D,2,0)</f>
        <v>#N/A</v>
      </c>
      <c r="G30" s="19" t="e">
        <f>VLOOKUP(C30,[4]PriceList!$C:$D,2,0)</f>
        <v>#N/A</v>
      </c>
      <c r="H30" s="19" t="e">
        <f>VLOOKUP(C30,[6]PriceList!$C:$D,2,0)</f>
        <v>#N/A</v>
      </c>
      <c r="I30" s="19" t="e">
        <f>VLOOKUP(C30,[7]PriceList!$C:$D,2,0)</f>
        <v>#N/A</v>
      </c>
      <c r="J30" s="19" t="e">
        <f>VLOOKUP(C30,[5]PriceList!$C:$D,2,0)</f>
        <v>#N/A</v>
      </c>
      <c r="K30" s="18" t="e">
        <f>VLOOKUP(C30,[8]PriceList!$C:$D,2,0)</f>
        <v>#N/A</v>
      </c>
    </row>
    <row r="31" spans="1:11" x14ac:dyDescent="0.3">
      <c r="A31" s="18">
        <v>30</v>
      </c>
      <c r="B31" s="18"/>
      <c r="C31" s="19" t="s">
        <v>152</v>
      </c>
      <c r="D31" s="19" t="e">
        <f>VLOOKUP(C31,[1]PriceList!$C:$D,2,0)</f>
        <v>#N/A</v>
      </c>
      <c r="E31" s="19" t="e">
        <f>VLOOKUP(C31,[2]PriceList!$C:$D,2,0)</f>
        <v>#N/A</v>
      </c>
      <c r="F31" s="19" t="e">
        <f>VLOOKUP(C31,[3]PriceList!$C:$D,2,0)</f>
        <v>#N/A</v>
      </c>
      <c r="G31" s="19" t="e">
        <f>VLOOKUP(C31,[4]PriceList!$C:$D,2,0)</f>
        <v>#N/A</v>
      </c>
      <c r="H31" s="19" t="e">
        <f>VLOOKUP(C31,[6]PriceList!$C:$D,2,0)</f>
        <v>#N/A</v>
      </c>
      <c r="I31" s="19" t="str">
        <f>VLOOKUP(C31,[7]PriceList!$C:$D,2,0)</f>
        <v>Thunder</v>
      </c>
      <c r="J31" s="19" t="e">
        <f>VLOOKUP(C31,[5]PriceList!$C:$D,2,0)</f>
        <v>#N/A</v>
      </c>
      <c r="K31" s="18" t="e">
        <f>VLOOKUP(C31,[8]PriceList!$C:$D,2,0)</f>
        <v>#N/A</v>
      </c>
    </row>
    <row r="32" spans="1:11" x14ac:dyDescent="0.3">
      <c r="A32" s="18">
        <v>31</v>
      </c>
      <c r="B32" s="18"/>
      <c r="C32" s="19" t="s">
        <v>68</v>
      </c>
      <c r="D32" s="19" t="str">
        <f>VLOOKUP(C32,[1]PriceList!$C:$D,2,0)</f>
        <v>Kainaat</v>
      </c>
      <c r="E32" s="19" t="e">
        <f>VLOOKUP(C32,[2]PriceList!$C:$D,2,0)</f>
        <v>#N/A</v>
      </c>
      <c r="F32" s="19" t="e">
        <f>VLOOKUP(C32,[3]PriceList!$C:$D,2,0)</f>
        <v>#N/A</v>
      </c>
      <c r="G32" s="19" t="e">
        <f>VLOOKUP(C32,[4]PriceList!$C:$D,2,0)</f>
        <v>#N/A</v>
      </c>
      <c r="H32" s="19" t="e">
        <f>VLOOKUP(C32,[6]PriceList!$C:$D,2,0)</f>
        <v>#N/A</v>
      </c>
      <c r="I32" s="19" t="str">
        <f>VLOOKUP(C32,[7]PriceList!$C:$D,2,0)</f>
        <v>Captan Gold</v>
      </c>
      <c r="J32" s="19" t="e">
        <f>VLOOKUP(C32,[5]PriceList!$C:$D,2,0)</f>
        <v>#N/A</v>
      </c>
      <c r="K32" s="18" t="e">
        <f>VLOOKUP(C32,[8]PriceList!$C:$D,2,0)</f>
        <v>#N/A</v>
      </c>
    </row>
    <row r="33" spans="1:11" x14ac:dyDescent="0.3">
      <c r="A33" s="18">
        <v>32</v>
      </c>
      <c r="B33" s="18"/>
      <c r="C33" s="27" t="s">
        <v>242</v>
      </c>
      <c r="D33" s="19" t="e">
        <f>VLOOKUP(C33,[1]PriceList!$C:$D,2,0)</f>
        <v>#N/A</v>
      </c>
      <c r="E33" s="19" t="e">
        <f>VLOOKUP(C33,[2]PriceList!$C:$D,2,0)</f>
        <v>#N/A</v>
      </c>
      <c r="F33" s="19" t="e">
        <f>VLOOKUP(C33,[3]PriceList!$C:$D,2,0)</f>
        <v>#N/A</v>
      </c>
      <c r="G33" s="19" t="str">
        <f>VLOOKUP(C33,[4]PriceList!$C:$D,2,0)</f>
        <v>Energy</v>
      </c>
      <c r="H33" s="19" t="e">
        <f>VLOOKUP(C33,[6]PriceList!$C:$D,2,0)</f>
        <v>#N/A</v>
      </c>
      <c r="I33" s="19" t="str">
        <f>VLOOKUP(C33,[7]PriceList!$C:$D,2,0)</f>
        <v>Tag Cap Hex</v>
      </c>
      <c r="J33" s="19" t="str">
        <f>VLOOKUP(C33,[5]PriceList!$C:$D,2,0)</f>
        <v>Naaqat</v>
      </c>
      <c r="K33" s="18" t="e">
        <f>VLOOKUP(C33,[8]PriceList!$C:$D,2,0)</f>
        <v>#N/A</v>
      </c>
    </row>
    <row r="34" spans="1:11" x14ac:dyDescent="0.3">
      <c r="A34" s="18">
        <v>33</v>
      </c>
      <c r="B34" s="18" t="s">
        <v>203</v>
      </c>
      <c r="C34" s="19" t="s">
        <v>72</v>
      </c>
      <c r="D34" s="19" t="str">
        <f>VLOOKUP(C34,[1]PriceList!$C:$D,2,0)</f>
        <v>Sushi</v>
      </c>
      <c r="E34" s="19" t="str">
        <f>VLOOKUP(C34,[2]PriceList!$C:$D,2,0)</f>
        <v>San Manco C</v>
      </c>
      <c r="F34" s="19" t="str">
        <f>VLOOKUP(C34,[3]PriceList!$C:$D,2,0)</f>
        <v xml:space="preserve">Major
</v>
      </c>
      <c r="G34" s="19" t="str">
        <f>VLOOKUP(C34,[4]PriceList!$C:$D,2,0)</f>
        <v>Aalsafe</v>
      </c>
      <c r="H34" s="19" t="str">
        <f>VLOOKUP(C34,[6]PriceList!$C:$D,2,0)</f>
        <v>Ratan</v>
      </c>
      <c r="I34" s="19" t="str">
        <f>VLOOKUP(C34,[7]PriceList!$C:$D,2,0)</f>
        <v>Revive 750</v>
      </c>
      <c r="J34" s="19" t="str">
        <f>VLOOKUP(C34,[5]PriceList!$C:$D,2,0)</f>
        <v>Saleela</v>
      </c>
      <c r="K34" s="18" t="str">
        <f>VLOOKUP(C34,[8]PriceList!$C:$D,2,0)</f>
        <v>Mercury</v>
      </c>
    </row>
    <row r="35" spans="1:11" x14ac:dyDescent="0.3">
      <c r="A35" s="18">
        <v>34</v>
      </c>
      <c r="B35" s="18"/>
      <c r="C35" s="28" t="s">
        <v>239</v>
      </c>
      <c r="D35" s="19" t="str">
        <f>VLOOKUP(C35,[1]PriceList!$C:$D,2,0)</f>
        <v>Levearage</v>
      </c>
      <c r="E35" s="19" t="e">
        <f>VLOOKUP(C35,[2]PriceList!$C:$D,2,0)</f>
        <v>#N/A</v>
      </c>
      <c r="F35" s="19" t="e">
        <f>VLOOKUP(C35,[3]PriceList!$C:$D,2,0)</f>
        <v>#N/A</v>
      </c>
      <c r="G35" s="19" t="e">
        <f>VLOOKUP(C35,[4]PriceList!$C:$D,2,0)</f>
        <v>#N/A</v>
      </c>
      <c r="H35" s="19" t="e">
        <f>VLOOKUP(C35,[6]PriceList!$C:$D,2,0)</f>
        <v>#N/A</v>
      </c>
      <c r="I35" s="19" t="e">
        <f>VLOOKUP(C35,[7]PriceList!$C:$D,2,0)</f>
        <v>#N/A</v>
      </c>
      <c r="J35" s="19" t="e">
        <f>VLOOKUP(C35,[5]PriceList!$C:$D,2,0)</f>
        <v>#N/A</v>
      </c>
      <c r="K35" s="18" t="e">
        <f>VLOOKUP(C35,[8]PriceList!$C:$D,2,0)</f>
        <v>#N/A</v>
      </c>
    </row>
    <row r="36" spans="1:11" x14ac:dyDescent="0.3">
      <c r="A36" s="18">
        <v>35</v>
      </c>
      <c r="B36" s="18"/>
      <c r="C36" s="19" t="s">
        <v>142</v>
      </c>
      <c r="D36" s="19" t="e">
        <f>VLOOKUP(C36,[1]PriceList!$C:$D,2,0)</f>
        <v>#N/A</v>
      </c>
      <c r="E36" s="19" t="str">
        <f>VLOOKUP(C36,[2]PriceList!$C:$D,2,0)</f>
        <v>Sanzim</v>
      </c>
      <c r="F36" s="19" t="str">
        <f>VLOOKUP(C36,[3]PriceList!$C:$D,2,0)</f>
        <v>Carbax</v>
      </c>
      <c r="G36" s="19" t="str">
        <f>VLOOKUP(C36,[4]PriceList!$C:$D,2,0)</f>
        <v>Teja</v>
      </c>
      <c r="H36" s="19" t="e">
        <f>VLOOKUP(C36,[6]PriceList!$C:$D,2,0)</f>
        <v>#N/A</v>
      </c>
      <c r="I36" s="19" t="str">
        <f>VLOOKUP(C36,[7]PriceList!$C:$D,2,0)</f>
        <v>Tagstin</v>
      </c>
      <c r="J36" s="19" t="str">
        <f>VLOOKUP(C36,[5]PriceList!$C:$D,2,0)</f>
        <v>Halayudh</v>
      </c>
      <c r="K36" s="18" t="e">
        <f>VLOOKUP(C36,[8]PriceList!$C:$D,2,0)</f>
        <v>#N/A</v>
      </c>
    </row>
    <row r="37" spans="1:11" x14ac:dyDescent="0.3">
      <c r="A37" s="18">
        <v>36</v>
      </c>
      <c r="B37" s="18"/>
      <c r="C37" s="28" t="s">
        <v>220</v>
      </c>
      <c r="D37" s="19" t="str">
        <f>VLOOKUP(C37,[1]PriceList!$C:$D,2,0)</f>
        <v>Godzilla Super</v>
      </c>
      <c r="E37" s="19" t="e">
        <f>VLOOKUP(C37,[2]PriceList!$C:$D,2,0)</f>
        <v>#N/A</v>
      </c>
      <c r="F37" s="19" t="e">
        <f>VLOOKUP(C37,[3]PriceList!$C:$D,2,0)</f>
        <v>#N/A</v>
      </c>
      <c r="G37" s="19" t="e">
        <f>VLOOKUP(C37,[4]PriceList!$C:$D,2,0)</f>
        <v>#N/A</v>
      </c>
      <c r="H37" s="19" t="e">
        <f>VLOOKUP(C37,[6]PriceList!$C:$D,2,0)</f>
        <v>#N/A</v>
      </c>
      <c r="I37" s="19" t="e">
        <f>VLOOKUP(C37,[7]PriceList!$C:$D,2,0)</f>
        <v>#N/A</v>
      </c>
      <c r="J37" s="19" t="e">
        <f>VLOOKUP(C37,[5]PriceList!$C:$D,2,0)</f>
        <v>#N/A</v>
      </c>
      <c r="K37" s="18" t="e">
        <f>VLOOKUP(C37,[8]PriceList!$C:$D,2,0)</f>
        <v>#N/A</v>
      </c>
    </row>
    <row r="38" spans="1:11" x14ac:dyDescent="0.3">
      <c r="A38" s="18">
        <v>37</v>
      </c>
      <c r="B38" s="18"/>
      <c r="C38" s="28" t="s">
        <v>221</v>
      </c>
      <c r="D38" s="19" t="str">
        <f>VLOOKUP(C38,[1]PriceList!$C:$D,2,0)</f>
        <v>Bhangra</v>
      </c>
      <c r="E38" s="19" t="e">
        <f>VLOOKUP(C38,[2]PriceList!$C:$D,2,0)</f>
        <v>#N/A</v>
      </c>
      <c r="F38" s="19" t="e">
        <f>VLOOKUP(C38,[3]PriceList!$C:$D,2,0)</f>
        <v>#N/A</v>
      </c>
      <c r="G38" s="19" t="e">
        <f>VLOOKUP(C38,[4]PriceList!$C:$D,2,0)</f>
        <v>#N/A</v>
      </c>
      <c r="H38" s="19" t="e">
        <f>VLOOKUP(C38,[6]PriceList!$C:$D,2,0)</f>
        <v>#N/A</v>
      </c>
      <c r="I38" s="19" t="e">
        <f>VLOOKUP(C38,[7]PriceList!$C:$D,2,0)</f>
        <v>#N/A</v>
      </c>
      <c r="J38" s="19" t="e">
        <f>VLOOKUP(C38,[5]PriceList!$C:$D,2,0)</f>
        <v>#N/A</v>
      </c>
      <c r="K38" s="18" t="e">
        <f>VLOOKUP(C38,[8]PriceList!$C:$D,2,0)</f>
        <v>#N/A</v>
      </c>
    </row>
    <row r="39" spans="1:11" x14ac:dyDescent="0.3">
      <c r="A39" s="18">
        <v>38</v>
      </c>
      <c r="B39" s="18"/>
      <c r="C39" s="19" t="s">
        <v>128</v>
      </c>
      <c r="D39" s="19" t="str">
        <f>VLOOKUP(C39,[1]PriceList!$C:$D,2,0)</f>
        <v>Parinda gr</v>
      </c>
      <c r="E39" s="19" t="str">
        <f>VLOOKUP(C39,[2]PriceList!$C:$D,2,0)</f>
        <v>San Cart- 4 Gr</v>
      </c>
      <c r="F39" s="19" t="e">
        <f>VLOOKUP(C39,[3]PriceList!$C:$D,2,0)</f>
        <v>#N/A</v>
      </c>
      <c r="G39" s="19" t="str">
        <f>VLOOKUP(C39,[4]PriceList!$C:$D,2,0)</f>
        <v>Aaltrap-4G</v>
      </c>
      <c r="H39" s="19" t="str">
        <f>VLOOKUP(C39,[6]PriceList!$C:$D,2,0)</f>
        <v>Bildan-4G</v>
      </c>
      <c r="I39" s="19" t="str">
        <f>VLOOKUP(C39,[7]PriceList!$C:$D,2,0)</f>
        <v>Fast 4G</v>
      </c>
      <c r="J39" s="19" t="e">
        <f>VLOOKUP(C39,[5]PriceList!$C:$D,2,0)</f>
        <v>#N/A</v>
      </c>
      <c r="K39" s="18" t="str">
        <f>VLOOKUP(C39,[8]PriceList!$C:$D,2,0)</f>
        <v>Carban GR</v>
      </c>
    </row>
    <row r="40" spans="1:11" x14ac:dyDescent="0.3">
      <c r="A40" s="18">
        <v>39</v>
      </c>
      <c r="B40" s="18" t="s">
        <v>326</v>
      </c>
      <c r="C40" s="19" t="s">
        <v>127</v>
      </c>
      <c r="D40" s="19" t="e">
        <f>VLOOKUP(C40,[1]PriceList!$C:$D,2,0)</f>
        <v>#N/A</v>
      </c>
      <c r="E40" s="19" t="str">
        <f>VLOOKUP(C40,[2]PriceList!$C:$D,2,0)</f>
        <v>San Cart Plus</v>
      </c>
      <c r="F40" s="19" t="e">
        <f>VLOOKUP(C40,[3]PriceList!$C:$D,2,0)</f>
        <v>#N/A</v>
      </c>
      <c r="G40" s="19" t="str">
        <f>VLOOKUP(C40,[4]PriceList!$C:$D,2,0)</f>
        <v>Aaltrap</v>
      </c>
      <c r="H40" s="19" t="str">
        <f>VLOOKUP(C40,[6]PriceList!$C:$D,2,0)</f>
        <v>Bildan 50 Sp</v>
      </c>
      <c r="I40" s="19" t="str">
        <f>VLOOKUP(C40,[7]PriceList!$C:$D,2,0)</f>
        <v>Fast</v>
      </c>
      <c r="J40" s="19" t="str">
        <f>VLOOKUP(C40,[5]PriceList!$C:$D,2,0)</f>
        <v>Maroon</v>
      </c>
      <c r="K40" s="18" t="e">
        <f>VLOOKUP(C40,[8]PriceList!$C:$D,2,0)</f>
        <v>#N/A</v>
      </c>
    </row>
    <row r="41" spans="1:11" x14ac:dyDescent="0.3">
      <c r="A41" s="18">
        <v>40</v>
      </c>
      <c r="B41" s="18"/>
      <c r="C41" s="31" t="s">
        <v>316</v>
      </c>
      <c r="D41" s="19" t="e">
        <f>VLOOKUP(C41,[1]PriceList!$C:$D,2,0)</f>
        <v>#N/A</v>
      </c>
      <c r="E41" s="19" t="e">
        <f>VLOOKUP(C41,[2]PriceList!$C:$D,2,0)</f>
        <v>#N/A</v>
      </c>
      <c r="F41" s="19" t="e">
        <f>VLOOKUP(C41,[3]PriceList!$C:$D,2,0)</f>
        <v>#N/A</v>
      </c>
      <c r="G41" s="19" t="e">
        <f>VLOOKUP(C41,[4]PriceList!$C:$D,2,0)</f>
        <v>#N/A</v>
      </c>
      <c r="H41" s="19" t="e">
        <f>VLOOKUP(C41,[6]PriceList!$C:$D,2,0)</f>
        <v>#N/A</v>
      </c>
      <c r="I41" s="19" t="str">
        <f>VLOOKUP(C41,[7]PriceList!$C:$D,2,0)</f>
        <v>Tag Emblica</v>
      </c>
      <c r="J41" s="19" t="e">
        <f>VLOOKUP(C41,[5]PriceList!$C:$D,2,0)</f>
        <v>#N/A</v>
      </c>
      <c r="K41" s="18" t="e">
        <f>VLOOKUP(C41,[8]PriceList!$C:$D,2,0)</f>
        <v>#N/A</v>
      </c>
    </row>
    <row r="42" spans="1:11" x14ac:dyDescent="0.3">
      <c r="A42" s="18">
        <v>41</v>
      </c>
      <c r="B42" s="18" t="s">
        <v>202</v>
      </c>
      <c r="C42" s="28" t="s">
        <v>252</v>
      </c>
      <c r="D42" s="19" t="str">
        <f>VLOOKUP(C42,[1]PriceList!$C:$D,2,0)</f>
        <v>Jaandar gr</v>
      </c>
      <c r="E42" s="19" t="str">
        <f>VLOOKUP(C42,[2]PriceList!$C:$D,2,0)</f>
        <v>Rodon Gr</v>
      </c>
      <c r="F42" s="19" t="e">
        <f>VLOOKUP(C42,[3]PriceList!$C:$D,2,0)</f>
        <v>#N/A</v>
      </c>
      <c r="G42" s="19" t="str">
        <f>VLOOKUP(C42,[4]PriceList!$C:$D,2,0)</f>
        <v>Aal Zen Gr</v>
      </c>
      <c r="H42" s="19" t="e">
        <f>VLOOKUP(C42,[6]PriceList!$C:$D,2,0)</f>
        <v>#N/A</v>
      </c>
      <c r="I42" s="19" t="str">
        <f>VLOOKUP(C42,[7]PriceList!$C:$D,2,0)</f>
        <v>Tag Zen Gr</v>
      </c>
      <c r="J42" s="19" t="e">
        <f>VLOOKUP(C42,[5]PriceList!$C:$D,2,0)</f>
        <v>#N/A</v>
      </c>
      <c r="K42" s="18" t="str">
        <f>VLOOKUP(C42,[8]PriceList!$C:$D,2,0)</f>
        <v>Ballot</v>
      </c>
    </row>
    <row r="43" spans="1:11" x14ac:dyDescent="0.3">
      <c r="A43" s="18">
        <v>42</v>
      </c>
      <c r="B43" s="18" t="s">
        <v>201</v>
      </c>
      <c r="C43" s="28" t="s">
        <v>257</v>
      </c>
      <c r="D43" s="19" t="str">
        <f>VLOOKUP(C43,[1]PriceList!$C:$D,2,0)</f>
        <v>Jaandar</v>
      </c>
      <c r="E43" s="19" t="e">
        <f>VLOOKUP(C43,[2]PriceList!$C:$D,2,0)</f>
        <v>#N/A</v>
      </c>
      <c r="F43" s="19" t="e">
        <f>VLOOKUP(C43,[3]PriceList!$C:$D,2,0)</f>
        <v>#N/A</v>
      </c>
      <c r="G43" s="19" t="str">
        <f>VLOOKUP(C43,[4]PriceList!$C:$D,2,0)</f>
        <v>Aal Zen</v>
      </c>
      <c r="H43" s="19" t="str">
        <f>VLOOKUP(C43,[6]PriceList!$C:$D,2,0)</f>
        <v>Jadu</v>
      </c>
      <c r="I43" s="19" t="str">
        <f>VLOOKUP(C43,[7]PriceList!$C:$D,2,0)</f>
        <v>Tagzen</v>
      </c>
      <c r="J43" s="19" t="str">
        <f>VLOOKUP(C43,[5]PriceList!$C:$D,2,0)</f>
        <v>Coranto</v>
      </c>
      <c r="K43" s="18" t="str">
        <f>VLOOKUP(C43,[8]PriceList!$C:$D,2,0)</f>
        <v>Helipro</v>
      </c>
    </row>
    <row r="44" spans="1:11" x14ac:dyDescent="0.3">
      <c r="A44" s="18">
        <v>43</v>
      </c>
      <c r="B44" s="18"/>
      <c r="C44" s="28" t="s">
        <v>241</v>
      </c>
      <c r="D44" s="19" t="e">
        <f>VLOOKUP(C44,[1]PriceList!$C:$D,2,0)</f>
        <v>#N/A</v>
      </c>
      <c r="E44" s="19" t="e">
        <f>VLOOKUP(C44,[2]PriceList!$C:$D,2,0)</f>
        <v>#N/A</v>
      </c>
      <c r="F44" s="19" t="e">
        <f>VLOOKUP(C44,[3]PriceList!$C:$D,2,0)</f>
        <v>#N/A</v>
      </c>
      <c r="G44" s="19" t="e">
        <f>VLOOKUP(C44,[4]PriceList!$C:$D,2,0)</f>
        <v>#N/A</v>
      </c>
      <c r="H44" s="19" t="e">
        <f>VLOOKUP(C44,[6]PriceList!$C:$D,2,0)</f>
        <v>#N/A</v>
      </c>
      <c r="I44" s="19" t="e">
        <f>VLOOKUP(C44,[7]PriceList!$C:$D,2,0)</f>
        <v>#N/A</v>
      </c>
      <c r="J44" s="19" t="str">
        <f>VLOOKUP(C44,[5]PriceList!$C:$D,2,0)</f>
        <v>Cinza</v>
      </c>
      <c r="K44" s="18" t="e">
        <f>VLOOKUP(C44,[8]PriceList!$C:$D,2,0)</f>
        <v>#N/A</v>
      </c>
    </row>
    <row r="45" spans="1:11" x14ac:dyDescent="0.3">
      <c r="A45" s="18">
        <v>44</v>
      </c>
      <c r="B45" s="18"/>
      <c r="C45" s="19" t="s">
        <v>32</v>
      </c>
      <c r="D45" s="19" t="str">
        <f>VLOOKUP(C45,[1]PriceList!$C:$D,2,0)</f>
        <v>Immandar</v>
      </c>
      <c r="E45" s="19" t="e">
        <f>VLOOKUP(C45,[2]PriceList!$C:$D,2,0)</f>
        <v>#N/A</v>
      </c>
      <c r="F45" s="19" t="e">
        <f>VLOOKUP(C45,[3]PriceList!$C:$D,2,0)</f>
        <v>#N/A</v>
      </c>
      <c r="G45" s="19" t="e">
        <f>VLOOKUP(C45,[4]PriceList!$C:$D,2,0)</f>
        <v>#N/A</v>
      </c>
      <c r="H45" s="19" t="e">
        <f>VLOOKUP(C45,[6]PriceList!$C:$D,2,0)</f>
        <v>#N/A</v>
      </c>
      <c r="I45" s="19" t="e">
        <f>VLOOKUP(C45,[7]PriceList!$C:$D,2,0)</f>
        <v>#N/A</v>
      </c>
      <c r="J45" s="19" t="e">
        <f>VLOOKUP(C45,[5]PriceList!$C:$D,2,0)</f>
        <v>#N/A</v>
      </c>
      <c r="K45" s="18" t="e">
        <f>VLOOKUP(C45,[8]PriceList!$C:$D,2,0)</f>
        <v>#N/A</v>
      </c>
    </row>
    <row r="46" spans="1:11" x14ac:dyDescent="0.3">
      <c r="A46" s="18">
        <v>45</v>
      </c>
      <c r="B46" s="18"/>
      <c r="C46" s="28" t="s">
        <v>218</v>
      </c>
      <c r="D46" s="19" t="str">
        <f>VLOOKUP(C46,[1]PriceList!$C:$D,2,0)</f>
        <v>Vibe</v>
      </c>
      <c r="E46" s="19" t="e">
        <f>VLOOKUP(C46,[2]PriceList!$C:$D,2,0)</f>
        <v>#N/A</v>
      </c>
      <c r="F46" s="19" t="e">
        <f>VLOOKUP(C46,[3]PriceList!$C:$D,2,0)</f>
        <v>#N/A</v>
      </c>
      <c r="G46" s="19" t="e">
        <f>VLOOKUP(C46,[4]PriceList!$C:$D,2,0)</f>
        <v>#N/A</v>
      </c>
      <c r="H46" s="19" t="e">
        <f>VLOOKUP(C46,[6]PriceList!$C:$D,2,0)</f>
        <v>#N/A</v>
      </c>
      <c r="I46" s="19" t="e">
        <f>VLOOKUP(C46,[7]PriceList!$C:$D,2,0)</f>
        <v>#N/A</v>
      </c>
      <c r="J46" s="19" t="e">
        <f>VLOOKUP(C46,[5]PriceList!$C:$D,2,0)</f>
        <v>#N/A</v>
      </c>
      <c r="K46" s="18" t="e">
        <f>VLOOKUP(C46,[8]PriceList!$C:$D,2,0)</f>
        <v>#N/A</v>
      </c>
    </row>
    <row r="47" spans="1:11" x14ac:dyDescent="0.3">
      <c r="A47" s="18">
        <v>46</v>
      </c>
      <c r="B47" s="18"/>
      <c r="C47" s="19" t="s">
        <v>8</v>
      </c>
      <c r="D47" s="19" t="str">
        <f>VLOOKUP(C47,[1]PriceList!$C:$D,2,0)</f>
        <v>Alishan gold</v>
      </c>
      <c r="E47" s="19" t="str">
        <f>VLOOKUP(C47,[2]PriceList!$C:$D,2,0)</f>
        <v>Antiago</v>
      </c>
      <c r="F47" s="19" t="e">
        <f>VLOOKUP(C47,[3]PriceList!$C:$D,2,0)</f>
        <v>#N/A</v>
      </c>
      <c r="G47" s="19" t="str">
        <f>VLOOKUP(C47,[4]PriceList!$C:$D,2,0)</f>
        <v>Indigo</v>
      </c>
      <c r="H47" s="19" t="e">
        <f>VLOOKUP(C47,[6]PriceList!$C:$D,2,0)</f>
        <v>#N/A</v>
      </c>
      <c r="I47" s="19" t="e">
        <f>VLOOKUP(C47,[7]PriceList!$C:$D,2,0)</f>
        <v>#N/A</v>
      </c>
      <c r="J47" s="19" t="str">
        <f>VLOOKUP(C47,[5]PriceList!$C:$D,2,0)</f>
        <v>Lampigo</v>
      </c>
      <c r="K47" s="18" t="str">
        <f>VLOOKUP(C47,[8]PriceList!$C:$D,2,0)</f>
        <v>Heli power</v>
      </c>
    </row>
    <row r="48" spans="1:11" x14ac:dyDescent="0.3">
      <c r="A48" s="18">
        <v>47</v>
      </c>
      <c r="B48" s="18"/>
      <c r="C48" s="28" t="s">
        <v>212</v>
      </c>
      <c r="D48" s="19" t="str">
        <f>VLOOKUP(C48,[1]PriceList!$C:$D,2,0)</f>
        <v>Intersteller</v>
      </c>
      <c r="E48" s="19" t="e">
        <f>VLOOKUP(C48,[2]PriceList!$C:$D,2,0)</f>
        <v>#N/A</v>
      </c>
      <c r="F48" s="19" t="e">
        <f>VLOOKUP(C48,[3]PriceList!$C:$D,2,0)</f>
        <v>#N/A</v>
      </c>
      <c r="G48" s="19" t="e">
        <f>VLOOKUP(C48,[4]PriceList!$C:$D,2,0)</f>
        <v>#N/A</v>
      </c>
      <c r="H48" s="19" t="e">
        <f>VLOOKUP(C48,[6]PriceList!$C:$D,2,0)</f>
        <v>#N/A</v>
      </c>
      <c r="I48" s="19" t="e">
        <f>VLOOKUP(C48,[7]PriceList!$C:$D,2,0)</f>
        <v>#N/A</v>
      </c>
      <c r="J48" s="19" t="e">
        <f>VLOOKUP(C48,[5]PriceList!$C:$D,2,0)</f>
        <v>#N/A</v>
      </c>
      <c r="K48" s="18" t="e">
        <f>VLOOKUP(C48,[8]PriceList!$C:$D,2,0)</f>
        <v>#N/A</v>
      </c>
    </row>
    <row r="49" spans="1:11" x14ac:dyDescent="0.3">
      <c r="A49" s="18">
        <v>48</v>
      </c>
      <c r="B49" s="18"/>
      <c r="C49" s="31" t="s">
        <v>293</v>
      </c>
      <c r="D49" s="19" t="e">
        <f>VLOOKUP(C49,[1]PriceList!$C:$D,2,0)</f>
        <v>#N/A</v>
      </c>
      <c r="E49" s="19" t="e">
        <f>VLOOKUP(C49,[2]PriceList!$C:$D,2,0)</f>
        <v>#N/A</v>
      </c>
      <c r="F49" s="19" t="e">
        <f>VLOOKUP(C49,[3]PriceList!$C:$D,2,0)</f>
        <v>#N/A</v>
      </c>
      <c r="G49" s="19" t="str">
        <f>VLOOKUP(C49,[4]PriceList!$C:$D,2,0)</f>
        <v>Falcon</v>
      </c>
      <c r="H49" s="19" t="e">
        <f>VLOOKUP(C49,[6]PriceList!$C:$D,2,0)</f>
        <v>#N/A</v>
      </c>
      <c r="I49" s="19" t="str">
        <f>VLOOKUP(C49,[7]PriceList!$C:$D,2,0)</f>
        <v>Tag Shield</v>
      </c>
      <c r="J49" s="19" t="e">
        <f>VLOOKUP(C49,[5]PriceList!$C:$D,2,0)</f>
        <v>#N/A</v>
      </c>
      <c r="K49" s="18" t="e">
        <f>VLOOKUP(C49,[8]PriceList!$C:$D,2,0)</f>
        <v>#N/A</v>
      </c>
    </row>
    <row r="50" spans="1:11" x14ac:dyDescent="0.3">
      <c r="A50" s="18">
        <v>49</v>
      </c>
      <c r="B50" s="18"/>
      <c r="C50" s="19" t="s">
        <v>121</v>
      </c>
      <c r="D50" s="19" t="e">
        <f>VLOOKUP(C50,[1]PriceList!$C:$D,2,0)</f>
        <v>#N/A</v>
      </c>
      <c r="E50" s="19" t="e">
        <f>VLOOKUP(C50,[2]PriceList!$C:$D,2,0)</f>
        <v>#N/A</v>
      </c>
      <c r="F50" s="19" t="e">
        <f>VLOOKUP(C50,[3]PriceList!$C:$D,2,0)</f>
        <v>#N/A</v>
      </c>
      <c r="G50" s="19" t="str">
        <f>VLOOKUP(C50,[4]PriceList!$C:$D,2,0)</f>
        <v>Altima 10% Gr</v>
      </c>
      <c r="H50" s="19" t="e">
        <f>VLOOKUP(C50,[6]PriceList!$C:$D,2,0)</f>
        <v>#N/A</v>
      </c>
      <c r="I50" s="19" t="str">
        <f>VLOOKUP(C50,[7]PriceList!$C:$D,2,0)</f>
        <v>Tagban Gold</v>
      </c>
      <c r="J50" s="19" t="str">
        <f>VLOOKUP(C50,[5]PriceList!$C:$D,2,0)</f>
        <v>Naja 10 G</v>
      </c>
      <c r="K50" s="18" t="e">
        <f>VLOOKUP(C50,[8]PriceList!$C:$D,2,0)</f>
        <v>#N/A</v>
      </c>
    </row>
    <row r="51" spans="1:11" x14ac:dyDescent="0.3">
      <c r="A51" s="18">
        <v>50</v>
      </c>
      <c r="B51" s="18"/>
      <c r="C51" s="31" t="s">
        <v>274</v>
      </c>
      <c r="D51" s="19" t="e">
        <f>VLOOKUP(C51,[1]PriceList!$C:$D,2,0)</f>
        <v>#N/A</v>
      </c>
      <c r="E51" s="19" t="e">
        <f>VLOOKUP(C51,[2]PriceList!$C:$D,2,0)</f>
        <v>#N/A</v>
      </c>
      <c r="F51" s="19" t="e">
        <f>VLOOKUP(C51,[3]PriceList!$C:$D,2,0)</f>
        <v>#N/A</v>
      </c>
      <c r="G51" s="19" t="e">
        <f>VLOOKUP(C51,[4]PriceList!$C:$D,2,0)</f>
        <v>#N/A</v>
      </c>
      <c r="H51" s="19" t="e">
        <f>VLOOKUP(C51,[6]PriceList!$C:$D,2,0)</f>
        <v>#N/A</v>
      </c>
      <c r="I51" s="19" t="str">
        <f>VLOOKUP(C51,[7]PriceList!$C:$D,2,0)</f>
        <v>Alert</v>
      </c>
      <c r="J51" s="19" t="e">
        <f>VLOOKUP(C51,[5]PriceList!$C:$D,2,0)</f>
        <v>#N/A</v>
      </c>
      <c r="K51" s="18" t="e">
        <f>VLOOKUP(C51,[8]PriceList!$C:$D,2,0)</f>
        <v>#N/A</v>
      </c>
    </row>
    <row r="52" spans="1:11" x14ac:dyDescent="0.3">
      <c r="A52" s="18">
        <v>51</v>
      </c>
      <c r="B52" s="18" t="s">
        <v>186</v>
      </c>
      <c r="C52" s="19" t="s">
        <v>119</v>
      </c>
      <c r="D52" s="19" t="e">
        <f>VLOOKUP(C52,[1]PriceList!$C:$D,2,0)</f>
        <v>#N/A</v>
      </c>
      <c r="E52" s="19" t="str">
        <f>VLOOKUP(C52,[2]PriceList!$C:$D,2,0)</f>
        <v>San Chloro Super</v>
      </c>
      <c r="F52" s="19" t="e">
        <f>VLOOKUP(C52,[3]PriceList!$C:$D,2,0)</f>
        <v>#N/A</v>
      </c>
      <c r="G52" s="19" t="str">
        <f>VLOOKUP(C52,[4]PriceList!$C:$D,2,0)</f>
        <v>Altima</v>
      </c>
      <c r="H52" s="19" t="e">
        <f>VLOOKUP(C52,[6]PriceList!$C:$D,2,0)</f>
        <v>#N/A</v>
      </c>
      <c r="I52" s="19" t="str">
        <f>VLOOKUP(C52,[7]PriceList!$C:$D,2,0)</f>
        <v>Tagban</v>
      </c>
      <c r="J52" s="19" t="str">
        <f>VLOOKUP(C52,[5]PriceList!$C:$D,2,0)</f>
        <v>Naja 20 EC</v>
      </c>
      <c r="K52" s="18" t="str">
        <f>VLOOKUP(C52,[8]PriceList!$C:$D,2,0)</f>
        <v>Chlorocil</v>
      </c>
    </row>
    <row r="53" spans="1:11" x14ac:dyDescent="0.3">
      <c r="A53" s="18">
        <v>52</v>
      </c>
      <c r="B53" s="18">
        <v>505</v>
      </c>
      <c r="C53" s="19" t="s">
        <v>122</v>
      </c>
      <c r="D53" s="19" t="e">
        <f>VLOOKUP(C53,[1]PriceList!$C:$D,2,0)</f>
        <v>#N/A</v>
      </c>
      <c r="E53" s="19" t="str">
        <f>VLOOKUP(C53,[2]PriceList!$C:$D,2,0)</f>
        <v>Sanchloro C</v>
      </c>
      <c r="F53" s="19" t="e">
        <f>VLOOKUP(C53,[3]PriceList!$C:$D,2,0)</f>
        <v>#N/A</v>
      </c>
      <c r="G53" s="19" t="str">
        <f>VLOOKUP(C53,[4]PriceList!$C:$D,2,0)</f>
        <v>Raise 505</v>
      </c>
      <c r="H53" s="19" t="str">
        <f>VLOOKUP(C53,[6]PriceList!$C:$D,2,0)</f>
        <v>Bilbo B-505</v>
      </c>
      <c r="I53" s="19" t="str">
        <f>VLOOKUP(C53,[7]PriceList!$C:$D,2,0)</f>
        <v>Action 505</v>
      </c>
      <c r="J53" s="19" t="str">
        <f>VLOOKUP(C53,[5]PriceList!$C:$D,2,0)</f>
        <v>Sira</v>
      </c>
      <c r="K53" s="18" t="str">
        <f>VLOOKUP(C53,[8]PriceList!$C:$D,2,0)</f>
        <v>Cyklon</v>
      </c>
    </row>
    <row r="54" spans="1:11" x14ac:dyDescent="0.3">
      <c r="A54" s="18">
        <v>53</v>
      </c>
      <c r="B54" s="18" t="s">
        <v>187</v>
      </c>
      <c r="C54" s="19" t="s">
        <v>120</v>
      </c>
      <c r="D54" s="19" t="e">
        <f>VLOOKUP(C54,[1]PriceList!$C:$D,2,0)</f>
        <v>#N/A</v>
      </c>
      <c r="E54" s="19" t="str">
        <f>VLOOKUP(C54,[2]PriceList!$C:$D,2,0)</f>
        <v>Sanchloro Extra</v>
      </c>
      <c r="F54" s="19" t="str">
        <f>VLOOKUP(C54,[3]PriceList!$C:$D,2,0)</f>
        <v>Pyrax Super</v>
      </c>
      <c r="G54" s="19" t="str">
        <f>VLOOKUP(C54,[4]PriceList!$C:$D,2,0)</f>
        <v>Ranger</v>
      </c>
      <c r="H54" s="19" t="e">
        <f>VLOOKUP(C54,[6]PriceList!$C:$D,2,0)</f>
        <v>#N/A</v>
      </c>
      <c r="I54" s="19" t="str">
        <f>VLOOKUP(C54,[7]PriceList!$C:$D,2,0)</f>
        <v>Action-500</v>
      </c>
      <c r="J54" s="19" t="str">
        <f>VLOOKUP(C54,[5]PriceList!$C:$D,2,0)</f>
        <v>Nandaka</v>
      </c>
      <c r="K54" s="18" t="str">
        <f>VLOOKUP(C54,[8]PriceList!$C:$D,2,0)</f>
        <v>Bosh</v>
      </c>
    </row>
    <row r="55" spans="1:11" x14ac:dyDescent="0.3">
      <c r="A55" s="18">
        <v>54</v>
      </c>
      <c r="B55" s="18"/>
      <c r="C55" s="19" t="s">
        <v>115</v>
      </c>
      <c r="D55" s="19" t="str">
        <f>VLOOKUP(C55,[1]PriceList!$C:$D,2,0)</f>
        <v>Rambha</v>
      </c>
      <c r="E55" s="19" t="e">
        <f>VLOOKUP(C55,[2]PriceList!$C:$D,2,0)</f>
        <v>#N/A</v>
      </c>
      <c r="F55" s="19" t="e">
        <f>VLOOKUP(C55,[3]PriceList!$C:$D,2,0)</f>
        <v>#N/A</v>
      </c>
      <c r="G55" s="19" t="e">
        <f>VLOOKUP(C55,[4]PriceList!$C:$D,2,0)</f>
        <v>#N/A</v>
      </c>
      <c r="H55" s="19" t="e">
        <f>VLOOKUP(C55,[6]PriceList!$C:$D,2,0)</f>
        <v>#N/A</v>
      </c>
      <c r="I55" s="19" t="e">
        <f>VLOOKUP(C55,[7]PriceList!$C:$D,2,0)</f>
        <v>#N/A</v>
      </c>
      <c r="J55" s="19" t="e">
        <f>VLOOKUP(C55,[5]PriceList!$C:$D,2,0)</f>
        <v>#N/A</v>
      </c>
      <c r="K55" s="18" t="e">
        <f>VLOOKUP(C55,[8]PriceList!$C:$D,2,0)</f>
        <v>#N/A</v>
      </c>
    </row>
    <row r="56" spans="1:11" x14ac:dyDescent="0.3">
      <c r="A56" s="18">
        <v>55</v>
      </c>
      <c r="B56" s="18"/>
      <c r="C56" s="19" t="s">
        <v>112</v>
      </c>
      <c r="D56" s="19" t="str">
        <f>VLOOKUP(C56,[1]PriceList!$C:$D,2,0)</f>
        <v>Currency</v>
      </c>
      <c r="E56" s="19" t="str">
        <f>VLOOKUP(C56,[2]PriceList!$C:$D,2,0)</f>
        <v xml:space="preserve">San Clodi </v>
      </c>
      <c r="F56" s="19" t="e">
        <f>VLOOKUP(C56,[3]PriceList!$C:$D,2,0)</f>
        <v>#N/A</v>
      </c>
      <c r="G56" s="19" t="e">
        <f>VLOOKUP(C56,[4]PriceList!$C:$D,2,0)</f>
        <v>#N/A</v>
      </c>
      <c r="H56" s="19" t="e">
        <f>VLOOKUP(C56,[6]PriceList!$C:$D,2,0)</f>
        <v>#N/A</v>
      </c>
      <c r="I56" s="19" t="e">
        <f>VLOOKUP(C56,[7]PriceList!$C:$D,2,0)</f>
        <v>#N/A</v>
      </c>
      <c r="J56" s="19" t="e">
        <f>VLOOKUP(C56,[5]PriceList!$C:$D,2,0)</f>
        <v>#N/A</v>
      </c>
      <c r="K56" s="18" t="str">
        <f>VLOOKUP(C56,[8]PriceList!$C:$D,2,0)</f>
        <v>Spear</v>
      </c>
    </row>
    <row r="57" spans="1:11" x14ac:dyDescent="0.3">
      <c r="A57" s="18">
        <v>56</v>
      </c>
      <c r="B57" s="18"/>
      <c r="C57" s="19" t="s">
        <v>25</v>
      </c>
      <c r="D57" s="19" t="str">
        <f>VLOOKUP(C57,[1]PriceList!$C:$D,2,0)</f>
        <v>Cyberking</v>
      </c>
      <c r="E57" s="19" t="e">
        <f>VLOOKUP(C57,[2]PriceList!$C:$D,2,0)</f>
        <v>#N/A</v>
      </c>
      <c r="F57" s="19" t="e">
        <f>VLOOKUP(C57,[3]PriceList!$C:$D,2,0)</f>
        <v>#N/A</v>
      </c>
      <c r="G57" s="19" t="e">
        <f>VLOOKUP(C57,[4]PriceList!$C:$D,2,0)</f>
        <v>#N/A</v>
      </c>
      <c r="H57" s="19" t="str">
        <f>VLOOKUP(C57,[6]PriceList!$C:$D,2,0)</f>
        <v>Badal</v>
      </c>
      <c r="I57" s="19" t="str">
        <f>VLOOKUP(C57,[7]PriceList!$C:$D,2,0)</f>
        <v>Tag Den</v>
      </c>
      <c r="J57" s="19" t="e">
        <f>VLOOKUP(C57,[5]PriceList!$C:$D,2,0)</f>
        <v>#N/A</v>
      </c>
      <c r="K57" s="18" t="str">
        <f>VLOOKUP(C57,[8]PriceList!$C:$D,2,0)</f>
        <v>Indotop</v>
      </c>
    </row>
    <row r="58" spans="1:11" x14ac:dyDescent="0.3">
      <c r="A58" s="18">
        <v>57</v>
      </c>
      <c r="B58" s="18"/>
      <c r="C58" s="19" t="s">
        <v>225</v>
      </c>
      <c r="D58" s="19" t="e">
        <f>VLOOKUP(C58,[1]PriceList!$C:$D,2,0)</f>
        <v>#N/A</v>
      </c>
      <c r="E58" s="19" t="str">
        <f>VLOOKUP(C58,[2]PriceList!$C:$D,2,0)</f>
        <v>Sancox</v>
      </c>
      <c r="F58" s="19" t="e">
        <f>VLOOKUP(C58,[3]PriceList!$C:$D,2,0)</f>
        <v>#N/A</v>
      </c>
      <c r="G58" s="19" t="str">
        <f>VLOOKUP(C58,[4]PriceList!$C:$D,2,0)</f>
        <v>Aalcop</v>
      </c>
      <c r="H58" s="19" t="e">
        <f>VLOOKUP(C58,[6]PriceList!$C:$D,2,0)</f>
        <v>#N/A</v>
      </c>
      <c r="I58" s="19" t="str">
        <f>VLOOKUP(C58,[7]PriceList!$C:$D,2,0)</f>
        <v>Tagcop</v>
      </c>
      <c r="J58" s="19" t="str">
        <f>VLOOKUP(C58,[5]PriceList!$C:$D,2,0)</f>
        <v>COC</v>
      </c>
      <c r="K58" s="18" t="e">
        <f>VLOOKUP(C58,[8]PriceList!$C:$D,2,0)</f>
        <v>#N/A</v>
      </c>
    </row>
    <row r="59" spans="1:11" x14ac:dyDescent="0.3">
      <c r="A59" s="18">
        <v>58</v>
      </c>
      <c r="B59" s="18"/>
      <c r="C59" s="19" t="s">
        <v>61</v>
      </c>
      <c r="D59" s="19" t="str">
        <f>VLOOKUP(C59,[1]PriceList!$C:$D,2,0)</f>
        <v>Charizma</v>
      </c>
      <c r="E59" s="19" t="e">
        <f>VLOOKUP(C59,[2]PriceList!$C:$D,2,0)</f>
        <v>#N/A</v>
      </c>
      <c r="F59" s="19" t="e">
        <f>VLOOKUP(C59,[3]PriceList!$C:$D,2,0)</f>
        <v>#N/A</v>
      </c>
      <c r="G59" s="19" t="e">
        <f>VLOOKUP(C59,[4]PriceList!$C:$D,2,0)</f>
        <v>#N/A</v>
      </c>
      <c r="H59" s="19" t="e">
        <f>VLOOKUP(C59,[6]PriceList!$C:$D,2,0)</f>
        <v>#N/A</v>
      </c>
      <c r="I59" s="19" t="e">
        <f>VLOOKUP(C59,[7]PriceList!$C:$D,2,0)</f>
        <v>#N/A</v>
      </c>
      <c r="J59" s="19" t="e">
        <f>VLOOKUP(C59,[5]PriceList!$C:$D,2,0)</f>
        <v>#N/A</v>
      </c>
      <c r="K59" s="18" t="e">
        <f>VLOOKUP(C59,[8]PriceList!$C:$D,2,0)</f>
        <v>#N/A</v>
      </c>
    </row>
    <row r="60" spans="1:11" x14ac:dyDescent="0.3">
      <c r="A60" s="18">
        <v>59</v>
      </c>
      <c r="B60" s="18"/>
      <c r="C60" s="19" t="s">
        <v>91</v>
      </c>
      <c r="D60" s="19" t="str">
        <f>VLOOKUP(C60,[1]PriceList!$C:$D,2,0)</f>
        <v>Ceremony</v>
      </c>
      <c r="E60" s="19" t="e">
        <f>VLOOKUP(C60,[2]PriceList!$C:$D,2,0)</f>
        <v>#N/A</v>
      </c>
      <c r="F60" s="19" t="e">
        <f>VLOOKUP(C60,[3]PriceList!$C:$D,2,0)</f>
        <v>#N/A</v>
      </c>
      <c r="G60" s="19" t="str">
        <f>VLOOKUP(C60,[4]PriceList!$C:$D,2,0)</f>
        <v>Cliff</v>
      </c>
      <c r="H60" s="19" t="e">
        <f>VLOOKUP(C60,[6]PriceList!$C:$D,2,0)</f>
        <v>#N/A</v>
      </c>
      <c r="I60" s="19" t="str">
        <f>VLOOKUP(C60,[7]PriceList!$C:$D,2,0)</f>
        <v>Tag Venture</v>
      </c>
      <c r="J60" s="19" t="e">
        <f>VLOOKUP(C60,[5]PriceList!$C:$D,2,0)</f>
        <v>#N/A</v>
      </c>
      <c r="K60" s="18" t="e">
        <f>VLOOKUP(C60,[8]PriceList!$C:$D,2,0)</f>
        <v>#N/A</v>
      </c>
    </row>
    <row r="61" spans="1:11" x14ac:dyDescent="0.3">
      <c r="A61" s="18">
        <v>60</v>
      </c>
      <c r="B61" s="18"/>
      <c r="C61" s="19" t="s">
        <v>207</v>
      </c>
      <c r="D61" s="19" t="str">
        <f>VLOOKUP(C61,[1]PriceList!$C:$D,2,0)</f>
        <v>Einstein super</v>
      </c>
      <c r="E61" s="19" t="str">
        <f>VLOOKUP(C61,[2]PriceList!$C:$D,2,0)</f>
        <v>Koriyan</v>
      </c>
      <c r="F61" s="19" t="e">
        <f>VLOOKUP(C61,[3]PriceList!$C:$D,2,0)</f>
        <v>#N/A</v>
      </c>
      <c r="G61" s="19" t="str">
        <f>VLOOKUP(C61,[4]PriceList!$C:$D,2,0)</f>
        <v>Viva Gold</v>
      </c>
      <c r="H61" s="19" t="str">
        <f>VLOOKUP(C61,[6]PriceList!$C:$D,2,0)</f>
        <v>Meccha</v>
      </c>
      <c r="I61" s="19" t="str">
        <f>VLOOKUP(C61,[7]PriceList!$C:$D,2,0)</f>
        <v>Tag Viva</v>
      </c>
      <c r="J61" s="19" t="str">
        <f>VLOOKUP(C61,[5]PriceList!$C:$D,2,0)</f>
        <v>Zaya</v>
      </c>
      <c r="K61" s="18" t="e">
        <f>VLOOKUP(C61,[8]PriceList!$C:$D,2,0)</f>
        <v>#N/A</v>
      </c>
    </row>
    <row r="62" spans="1:11" x14ac:dyDescent="0.3">
      <c r="A62" s="18">
        <v>61</v>
      </c>
      <c r="B62" s="18"/>
      <c r="C62" s="31" t="s">
        <v>311</v>
      </c>
      <c r="D62" s="19" t="e">
        <f>VLOOKUP(C62,[1]PriceList!$C:$D,2,0)</f>
        <v>#N/A</v>
      </c>
      <c r="E62" s="19" t="e">
        <f>VLOOKUP(C62,[2]PriceList!$C:$D,2,0)</f>
        <v>#N/A</v>
      </c>
      <c r="F62" s="19" t="e">
        <f>VLOOKUP(C62,[3]PriceList!$C:$D,2,0)</f>
        <v>#N/A</v>
      </c>
      <c r="G62" s="19" t="e">
        <f>VLOOKUP(C62,[4]PriceList!$C:$D,2,0)</f>
        <v>#N/A</v>
      </c>
      <c r="H62" s="19" t="e">
        <f>VLOOKUP(C62,[6]PriceList!$C:$D,2,0)</f>
        <v>#N/A</v>
      </c>
      <c r="I62" s="19" t="str">
        <f>VLOOKUP(C62,[7]PriceList!$C:$D,2,0)</f>
        <v>Tagmax</v>
      </c>
      <c r="J62" s="19" t="e">
        <f>VLOOKUP(C62,[5]PriceList!$C:$D,2,0)</f>
        <v>#N/A</v>
      </c>
      <c r="K62" s="18" t="e">
        <f>VLOOKUP(C62,[8]PriceList!$C:$D,2,0)</f>
        <v>#N/A</v>
      </c>
    </row>
    <row r="63" spans="1:11" x14ac:dyDescent="0.3">
      <c r="A63" s="18">
        <v>62</v>
      </c>
      <c r="B63" s="18"/>
      <c r="C63" s="19" t="s">
        <v>62</v>
      </c>
      <c r="D63" s="19" t="str">
        <f>VLOOKUP(C63,[1]PriceList!$C:$D,2,0)</f>
        <v>Clubman</v>
      </c>
      <c r="E63" s="19" t="e">
        <f>VLOOKUP(C63,[2]PriceList!$C:$D,2,0)</f>
        <v>#N/A</v>
      </c>
      <c r="F63" s="19" t="e">
        <f>VLOOKUP(C63,[3]PriceList!$C:$D,2,0)</f>
        <v>#N/A</v>
      </c>
      <c r="G63" s="19" t="str">
        <f>VLOOKUP(C63,[4]PriceList!$C:$D,2,0)</f>
        <v>Budget</v>
      </c>
      <c r="H63" s="19" t="str">
        <f>VLOOKUP(C63,[6]PriceList!$C:$D,2,0)</f>
        <v>Custom</v>
      </c>
      <c r="I63" s="19" t="str">
        <f>VLOOKUP(C63,[7]PriceList!$C:$D,2,0)</f>
        <v>Crizol</v>
      </c>
      <c r="J63" s="19" t="str">
        <f>VLOOKUP(C63,[5]PriceList!$C:$D,2,0)</f>
        <v>Cymos</v>
      </c>
      <c r="K63" s="18" t="e">
        <f>VLOOKUP(C63,[8]PriceList!$C:$D,2,0)</f>
        <v>#N/A</v>
      </c>
    </row>
    <row r="64" spans="1:11" x14ac:dyDescent="0.3">
      <c r="A64" s="18">
        <v>63</v>
      </c>
      <c r="B64" s="18"/>
      <c r="C64" s="28" t="s">
        <v>210</v>
      </c>
      <c r="D64" s="19" t="str">
        <f>VLOOKUP(C64,[1]PriceList!$C:$D,2,0)</f>
        <v>Novacrop super</v>
      </c>
      <c r="E64" s="19" t="e">
        <f>VLOOKUP(C64,[2]PriceList!$C:$D,2,0)</f>
        <v>#N/A</v>
      </c>
      <c r="F64" s="19" t="e">
        <f>VLOOKUP(C64,[3]PriceList!$C:$D,2,0)</f>
        <v>#N/A</v>
      </c>
      <c r="G64" s="19" t="e">
        <f>VLOOKUP(C64,[4]PriceList!$C:$D,2,0)</f>
        <v>#N/A</v>
      </c>
      <c r="H64" s="19" t="e">
        <f>VLOOKUP(C64,[6]PriceList!$C:$D,2,0)</f>
        <v>#N/A</v>
      </c>
      <c r="I64" s="19" t="e">
        <f>VLOOKUP(C64,[7]PriceList!$C:$D,2,0)</f>
        <v>#N/A</v>
      </c>
      <c r="J64" s="19" t="e">
        <f>VLOOKUP(C64,[5]PriceList!$C:$D,2,0)</f>
        <v>#N/A</v>
      </c>
      <c r="K64" s="18" t="e">
        <f>VLOOKUP(C64,[8]PriceList!$C:$D,2,0)</f>
        <v>#N/A</v>
      </c>
    </row>
    <row r="65" spans="1:11" x14ac:dyDescent="0.3">
      <c r="A65" s="18">
        <v>64</v>
      </c>
      <c r="B65" s="18"/>
      <c r="C65" s="19" t="s">
        <v>15</v>
      </c>
      <c r="D65" s="19" t="e">
        <f>VLOOKUP(C65,[1]PriceList!$C:$D,2,0)</f>
        <v>#N/A</v>
      </c>
      <c r="E65" s="19" t="e">
        <f>VLOOKUP(C65,[2]PriceList!$C:$D,2,0)</f>
        <v>#N/A</v>
      </c>
      <c r="F65" s="19" t="e">
        <f>VLOOKUP(C65,[3]PriceList!$C:$D,2,0)</f>
        <v>#N/A</v>
      </c>
      <c r="G65" s="19" t="str">
        <f>VLOOKUP(C65,[4]PriceList!$C:$D,2,0)</f>
        <v>Singha</v>
      </c>
      <c r="H65" s="19" t="e">
        <f>VLOOKUP(C65,[6]PriceList!$C:$D,2,0)</f>
        <v>#N/A</v>
      </c>
      <c r="I65" s="19" t="e">
        <f>VLOOKUP(C65,[7]PriceList!$C:$D,2,0)</f>
        <v>#N/A</v>
      </c>
      <c r="J65" s="19" t="e">
        <f>VLOOKUP(C65,[5]PriceList!$C:$D,2,0)</f>
        <v>#N/A</v>
      </c>
      <c r="K65" s="18" t="e">
        <f>VLOOKUP(C65,[8]PriceList!$C:$D,2,0)</f>
        <v>#N/A</v>
      </c>
    </row>
    <row r="66" spans="1:11" x14ac:dyDescent="0.3">
      <c r="A66" s="18">
        <v>65</v>
      </c>
      <c r="B66" s="18" t="s">
        <v>235</v>
      </c>
      <c r="C66" s="19" t="s">
        <v>136</v>
      </c>
      <c r="D66" s="19" t="e">
        <f>VLOOKUP(C66,[1]PriceList!$C:$D,2,0)</f>
        <v>#N/A</v>
      </c>
      <c r="E66" s="19" t="str">
        <f>VLOOKUP(C66,[2]PriceList!$C:$D,2,0)</f>
        <v>San Cyp Plus</v>
      </c>
      <c r="F66" s="19" t="e">
        <f>VLOOKUP(C66,[3]PriceList!$C:$D,2,0)</f>
        <v>#N/A</v>
      </c>
      <c r="G66" s="19" t="str">
        <f>VLOOKUP(C66,[4]PriceList!$C:$D,2,0)</f>
        <v>Dominate</v>
      </c>
      <c r="H66" s="19" t="e">
        <f>VLOOKUP(C66,[6]PriceList!$C:$D,2,0)</f>
        <v>#N/A</v>
      </c>
      <c r="I66" s="19" t="str">
        <f>VLOOKUP(C66,[7]PriceList!$C:$D,2,0)</f>
        <v>Challenger 10</v>
      </c>
      <c r="J66" s="19" t="e">
        <f>VLOOKUP(C66,[5]PriceList!$C:$D,2,0)</f>
        <v>#N/A</v>
      </c>
      <c r="K66" s="18" t="e">
        <f>VLOOKUP(C66,[8]PriceList!$C:$D,2,0)</f>
        <v>#N/A</v>
      </c>
    </row>
    <row r="67" spans="1:11" x14ac:dyDescent="0.3">
      <c r="A67" s="18">
        <v>66</v>
      </c>
      <c r="B67" s="18" t="s">
        <v>236</v>
      </c>
      <c r="C67" s="19" t="s">
        <v>137</v>
      </c>
      <c r="D67" s="19" t="e">
        <f>VLOOKUP(C67,[1]PriceList!$C:$D,2,0)</f>
        <v>#N/A</v>
      </c>
      <c r="E67" s="19" t="str">
        <f>VLOOKUP(C67,[2]PriceList!$C:$D,2,0)</f>
        <v>San Cyp Super</v>
      </c>
      <c r="F67" s="19" t="e">
        <f>VLOOKUP(C67,[3]PriceList!$C:$D,2,0)</f>
        <v>#N/A</v>
      </c>
      <c r="G67" s="19" t="str">
        <f>VLOOKUP(C67,[4]PriceList!$C:$D,2,0)</f>
        <v>Climax</v>
      </c>
      <c r="H67" s="19" t="e">
        <f>VLOOKUP(C67,[6]PriceList!$C:$D,2,0)</f>
        <v>#N/A</v>
      </c>
      <c r="I67" s="19" t="str">
        <f>VLOOKUP(C67,[7]PriceList!$C:$D,2,0)</f>
        <v>Challenger 25</v>
      </c>
      <c r="J67" s="19" t="str">
        <f>VLOOKUP(C67,[5]PriceList!$C:$D,2,0)</f>
        <v>Saber</v>
      </c>
      <c r="K67" s="18" t="e">
        <f>VLOOKUP(C67,[8]PriceList!$C:$D,2,0)</f>
        <v>#N/A</v>
      </c>
    </row>
    <row r="68" spans="1:11" x14ac:dyDescent="0.3">
      <c r="A68" s="18">
        <v>67</v>
      </c>
      <c r="B68" s="18"/>
      <c r="C68" s="19" t="s">
        <v>171</v>
      </c>
      <c r="D68" s="19" t="e">
        <f>VLOOKUP(C68,[1]PriceList!$C:$D,2,0)</f>
        <v>#N/A</v>
      </c>
      <c r="E68" s="19" t="e">
        <f>VLOOKUP(C68,[2]PriceList!$C:$D,2,0)</f>
        <v>#N/A</v>
      </c>
      <c r="F68" s="19" t="str">
        <f>VLOOKUP(C68,[3]PriceList!$C:$D,2,0)</f>
        <v xml:space="preserve">Tempo
</v>
      </c>
      <c r="G68" s="19" t="str">
        <f>VLOOKUP(C68,[4]PriceList!$C:$D,2,0)</f>
        <v>Click</v>
      </c>
      <c r="H68" s="19" t="e">
        <f>VLOOKUP(C68,[6]PriceList!$C:$D,2,0)</f>
        <v>#N/A</v>
      </c>
      <c r="I68" s="19" t="str">
        <f>VLOOKUP(C68,[7]PriceList!$C:$D,2,0)</f>
        <v>Tagcis</v>
      </c>
      <c r="J68" s="19" t="e">
        <f>VLOOKUP(C68,[5]PriceList!$C:$D,2,0)</f>
        <v>#N/A</v>
      </c>
      <c r="K68" s="18" t="e">
        <f>VLOOKUP(C68,[8]PriceList!$C:$D,2,0)</f>
        <v>#N/A</v>
      </c>
    </row>
    <row r="69" spans="1:11" x14ac:dyDescent="0.3">
      <c r="A69" s="18">
        <v>68</v>
      </c>
      <c r="B69" s="18"/>
      <c r="C69" s="19" t="s">
        <v>12</v>
      </c>
      <c r="D69" s="19" t="str">
        <f>VLOOKUP(C69,[1]PriceList!$C:$D,2,0)</f>
        <v>High josh</v>
      </c>
      <c r="E69" s="19" t="e">
        <f>VLOOKUP(C69,[2]PriceList!$C:$D,2,0)</f>
        <v>#N/A</v>
      </c>
      <c r="F69" s="19" t="e">
        <f>VLOOKUP(C69,[3]PriceList!$C:$D,2,0)</f>
        <v>#N/A</v>
      </c>
      <c r="G69" s="19" t="e">
        <f>VLOOKUP(C69,[4]PriceList!$C:$D,2,0)</f>
        <v>#N/A</v>
      </c>
      <c r="H69" s="19" t="e">
        <f>VLOOKUP(C69,[6]PriceList!$C:$D,2,0)</f>
        <v>#N/A</v>
      </c>
      <c r="I69" s="19" t="e">
        <f>VLOOKUP(C69,[7]PriceList!$C:$D,2,0)</f>
        <v>#N/A</v>
      </c>
      <c r="J69" s="19" t="e">
        <f>VLOOKUP(C69,[5]PriceList!$C:$D,2,0)</f>
        <v>#N/A</v>
      </c>
      <c r="K69" s="18" t="e">
        <f>VLOOKUP(C69,[8]PriceList!$C:$D,2,0)</f>
        <v>#N/A</v>
      </c>
    </row>
    <row r="70" spans="1:11" x14ac:dyDescent="0.3">
      <c r="A70" s="18">
        <v>69</v>
      </c>
      <c r="B70" s="18"/>
      <c r="C70" s="19" t="s">
        <v>168</v>
      </c>
      <c r="D70" s="19" t="str">
        <f>VLOOKUP(C70,[1]PriceList!$C:$D,2,0)</f>
        <v>Surety</v>
      </c>
      <c r="E70" s="19" t="e">
        <f>VLOOKUP(C70,[2]PriceList!$C:$D,2,0)</f>
        <v>#N/A</v>
      </c>
      <c r="F70" s="19" t="str">
        <f>VLOOKUP(C70,[3]PriceList!$C:$D,2,0)</f>
        <v>Pony</v>
      </c>
      <c r="G70" s="19" t="str">
        <f>VLOOKUP(C70,[4]PriceList!$C:$D,2,0)</f>
        <v>Apollo</v>
      </c>
      <c r="H70" s="19" t="str">
        <f>VLOOKUP(C70,[6]PriceList!$C:$D,2,0)</f>
        <v>Billion</v>
      </c>
      <c r="I70" s="19" t="str">
        <f>VLOOKUP(C70,[7]PriceList!$C:$D,2,0)</f>
        <v>Tag Jio-Veg</v>
      </c>
      <c r="J70" s="19" t="str">
        <f>VLOOKUP(C70,[5]PriceList!$C:$D,2,0)</f>
        <v>Jasinda</v>
      </c>
      <c r="K70" s="18" t="str">
        <f>VLOOKUP(C70,[8]PriceList!$C:$D,2,0)</f>
        <v>Declare</v>
      </c>
    </row>
    <row r="71" spans="1:11" x14ac:dyDescent="0.3">
      <c r="A71" s="18">
        <v>70</v>
      </c>
      <c r="B71" s="18"/>
      <c r="C71" s="19" t="s">
        <v>104</v>
      </c>
      <c r="D71" s="19" t="str">
        <f>VLOOKUP(C71,[1]PriceList!$C:$D,2,0)</f>
        <v>Barreta</v>
      </c>
      <c r="E71" s="19" t="e">
        <f>VLOOKUP(C71,[2]PriceList!$C:$D,2,0)</f>
        <v>#N/A</v>
      </c>
      <c r="F71" s="19" t="e">
        <f>VLOOKUP(C71,[3]PriceList!$C:$D,2,0)</f>
        <v>#N/A</v>
      </c>
      <c r="G71" s="19" t="str">
        <f>VLOOKUP(C71,[4]PriceList!$C:$D,2,0)</f>
        <v>Dice</v>
      </c>
      <c r="H71" s="19" t="e">
        <f>VLOOKUP(C71,[6]PriceList!$C:$D,2,0)</f>
        <v>#N/A</v>
      </c>
      <c r="I71" s="19" t="str">
        <f>VLOOKUP(C71,[7]PriceList!$C:$D,2,0)</f>
        <v>Tag Salute</v>
      </c>
      <c r="J71" s="19" t="e">
        <f>VLOOKUP(C71,[5]PriceList!$C:$D,2,0)</f>
        <v>#N/A</v>
      </c>
      <c r="K71" s="18" t="e">
        <f>VLOOKUP(C71,[8]PriceList!$C:$D,2,0)</f>
        <v>#N/A</v>
      </c>
    </row>
    <row r="72" spans="1:11" x14ac:dyDescent="0.3">
      <c r="A72" s="18">
        <v>71</v>
      </c>
      <c r="B72" s="18"/>
      <c r="C72" s="19" t="s">
        <v>135</v>
      </c>
      <c r="D72" s="19" t="e">
        <f>VLOOKUP(C72,[1]PriceList!$C:$D,2,0)</f>
        <v>#N/A</v>
      </c>
      <c r="E72" s="19" t="e">
        <f>VLOOKUP(C72,[2]PriceList!$C:$D,2,0)</f>
        <v>#N/A</v>
      </c>
      <c r="F72" s="19" t="e">
        <f>VLOOKUP(C72,[3]PriceList!$C:$D,2,0)</f>
        <v>#N/A</v>
      </c>
      <c r="G72" s="19" t="str">
        <f>VLOOKUP(C72,[4]PriceList!$C:$D,2,0)</f>
        <v>Aagor</v>
      </c>
      <c r="H72" s="19" t="e">
        <f>VLOOKUP(C72,[6]PriceList!$C:$D,2,0)</f>
        <v>#N/A</v>
      </c>
      <c r="I72" s="19" t="str">
        <f>VLOOKUP(C72,[7]PriceList!$C:$D,2,0)</f>
        <v>Tagor</v>
      </c>
      <c r="J72" s="19" t="str">
        <f>VLOOKUP(C72,[5]PriceList!$C:$D,2,0)</f>
        <v>Rigour</v>
      </c>
      <c r="K72" s="18" t="e">
        <f>VLOOKUP(C72,[8]PriceList!$C:$D,2,0)</f>
        <v>#N/A</v>
      </c>
    </row>
    <row r="73" spans="1:11" x14ac:dyDescent="0.3">
      <c r="A73" s="18">
        <v>72</v>
      </c>
      <c r="B73" s="18"/>
      <c r="C73" s="19" t="s">
        <v>63</v>
      </c>
      <c r="D73" s="19" t="str">
        <f>VLOOKUP(C73,[1]PriceList!$C:$D,2,0)</f>
        <v>Barista</v>
      </c>
      <c r="E73" s="19" t="e">
        <f>VLOOKUP(C73,[2]PriceList!$C:$D,2,0)</f>
        <v>#N/A</v>
      </c>
      <c r="F73" s="19" t="e">
        <f>VLOOKUP(C73,[3]PriceList!$C:$D,2,0)</f>
        <v>#N/A</v>
      </c>
      <c r="G73" s="19" t="e">
        <f>VLOOKUP(C73,[4]PriceList!$C:$D,2,0)</f>
        <v>#N/A</v>
      </c>
      <c r="H73" s="19" t="e">
        <f>VLOOKUP(C73,[6]PriceList!$C:$D,2,0)</f>
        <v>#N/A</v>
      </c>
      <c r="I73" s="19" t="str">
        <f>VLOOKUP(C73,[7]PriceList!$C:$D,2,0)</f>
        <v>Talon</v>
      </c>
      <c r="J73" s="19" t="e">
        <f>VLOOKUP(C73,[5]PriceList!$C:$D,2,0)</f>
        <v>#N/A</v>
      </c>
      <c r="K73" s="18" t="e">
        <f>VLOOKUP(C73,[8]PriceList!$C:$D,2,0)</f>
        <v>#N/A</v>
      </c>
    </row>
    <row r="74" spans="1:11" x14ac:dyDescent="0.3">
      <c r="A74" s="18">
        <v>73</v>
      </c>
      <c r="B74" s="18"/>
      <c r="C74" s="19" t="s">
        <v>21</v>
      </c>
      <c r="D74" s="19" t="str">
        <f>VLOOKUP(C74,[1]PriceList!$C:$D,2,0)</f>
        <v>Angrej</v>
      </c>
      <c r="E74" s="19" t="str">
        <f>VLOOKUP(C74,[2]PriceList!$C:$D,2,0)</f>
        <v>Pyroman</v>
      </c>
      <c r="F74" s="19" t="str">
        <f>VLOOKUP(C74,[3]PriceList!$C:$D,2,0)</f>
        <v>Bold</v>
      </c>
      <c r="G74" s="19" t="str">
        <f>VLOOKUP(C74,[4]PriceList!$C:$D,2,0)</f>
        <v>Mega Star</v>
      </c>
      <c r="H74" s="19" t="e">
        <f>VLOOKUP(C74,[6]PriceList!$C:$D,2,0)</f>
        <v>#N/A</v>
      </c>
      <c r="I74" s="19" t="str">
        <f>VLOOKUP(C74,[7]PriceList!$C:$D,2,0)</f>
        <v>Tag Warrior</v>
      </c>
      <c r="J74" s="19" t="str">
        <f>VLOOKUP(C74,[5]PriceList!$C:$D,2,0)</f>
        <v>Samvidha</v>
      </c>
      <c r="K74" s="18" t="e">
        <f>VLOOKUP(C74,[8]PriceList!$C:$D,2,0)</f>
        <v>#N/A</v>
      </c>
    </row>
    <row r="75" spans="1:11" x14ac:dyDescent="0.3">
      <c r="A75" s="18">
        <v>74</v>
      </c>
      <c r="B75" s="18"/>
      <c r="C75" s="19" t="s">
        <v>26</v>
      </c>
      <c r="D75" s="19" t="str">
        <f>VLOOKUP(C75,[1]PriceList!$C:$D,2,0)</f>
        <v>Kaalam</v>
      </c>
      <c r="E75" s="19" t="e">
        <f>VLOOKUP(C75,[2]PriceList!$C:$D,2,0)</f>
        <v>#N/A</v>
      </c>
      <c r="F75" s="19" t="e">
        <f>VLOOKUP(C75,[3]PriceList!$C:$D,2,0)</f>
        <v>#N/A</v>
      </c>
      <c r="G75" s="19" t="e">
        <f>VLOOKUP(C75,[4]PriceList!$C:$D,2,0)</f>
        <v>#N/A</v>
      </c>
      <c r="H75" s="19" t="e">
        <f>VLOOKUP(C75,[6]PriceList!$C:$D,2,0)</f>
        <v>#N/A</v>
      </c>
      <c r="I75" s="19" t="str">
        <f>VLOOKUP(C75,[7]PriceList!$C:$D,2,0)</f>
        <v>Tag Ocean</v>
      </c>
      <c r="J75" s="19" t="e">
        <f>VLOOKUP(C75,[5]PriceList!$C:$D,2,0)</f>
        <v>#N/A</v>
      </c>
      <c r="K75" s="18" t="e">
        <f>VLOOKUP(C75,[8]PriceList!$C:$D,2,0)</f>
        <v>#N/A</v>
      </c>
    </row>
    <row r="76" spans="1:11" x14ac:dyDescent="0.3">
      <c r="A76" s="18">
        <v>75</v>
      </c>
      <c r="B76" s="18"/>
      <c r="C76" s="19" t="s">
        <v>82</v>
      </c>
      <c r="D76" s="19" t="str">
        <f>VLOOKUP(C76,[1]PriceList!$C:$D,2,0)</f>
        <v>Tariff</v>
      </c>
      <c r="E76" s="19" t="e">
        <f>VLOOKUP(C76,[2]PriceList!$C:$D,2,0)</f>
        <v>#N/A</v>
      </c>
      <c r="F76" s="19" t="e">
        <f>VLOOKUP(C76,[3]PriceList!$C:$D,2,0)</f>
        <v>#N/A</v>
      </c>
      <c r="G76" s="19" t="str">
        <f>VLOOKUP(C76,[4]PriceList!$C:$D,2,0)</f>
        <v>Lotto</v>
      </c>
      <c r="H76" s="19" t="str">
        <f>VLOOKUP(C76,[6]PriceList!$C:$D,2,0)</f>
        <v>Biuron</v>
      </c>
      <c r="I76" s="19" t="str">
        <f>VLOOKUP(C76,[7]PriceList!$C:$D,2,0)</f>
        <v>Dinomyte</v>
      </c>
      <c r="J76" s="19" t="e">
        <f>VLOOKUP(C76,[5]PriceList!$C:$D,2,0)</f>
        <v>#N/A</v>
      </c>
      <c r="K76" s="18" t="e">
        <f>VLOOKUP(C76,[8]PriceList!$C:$D,2,0)</f>
        <v>#N/A</v>
      </c>
    </row>
    <row r="77" spans="1:11" x14ac:dyDescent="0.3">
      <c r="A77" s="18">
        <v>76</v>
      </c>
      <c r="B77" s="18"/>
      <c r="C77" s="19" t="s">
        <v>67</v>
      </c>
      <c r="D77" s="19" t="str">
        <f>VLOOKUP(C77,[1]PriceList!$C:$D,2,0)</f>
        <v>Dua</v>
      </c>
      <c r="E77" s="19" t="e">
        <f>VLOOKUP(C77,[2]PriceList!$C:$D,2,0)</f>
        <v>#N/A</v>
      </c>
      <c r="F77" s="19" t="e">
        <f>VLOOKUP(C77,[3]PriceList!$C:$D,2,0)</f>
        <v>#N/A</v>
      </c>
      <c r="G77" s="19" t="e">
        <f>VLOOKUP(C77,[4]PriceList!$C:$D,2,0)</f>
        <v>#N/A</v>
      </c>
      <c r="H77" s="19" t="e">
        <f>VLOOKUP(C77,[6]PriceList!$C:$D,2,0)</f>
        <v>#N/A</v>
      </c>
      <c r="I77" s="19" t="e">
        <f>VLOOKUP(C77,[7]PriceList!$C:$D,2,0)</f>
        <v>#N/A</v>
      </c>
      <c r="J77" s="19" t="e">
        <f>VLOOKUP(C77,[5]PriceList!$C:$D,2,0)</f>
        <v>#N/A</v>
      </c>
      <c r="K77" s="18" t="e">
        <f>VLOOKUP(C77,[8]PriceList!$C:$D,2,0)</f>
        <v>#N/A</v>
      </c>
    </row>
    <row r="78" spans="1:11" x14ac:dyDescent="0.3">
      <c r="A78" s="18">
        <v>77</v>
      </c>
      <c r="B78" s="18"/>
      <c r="C78" s="19" t="s">
        <v>7</v>
      </c>
      <c r="D78" s="19" t="str">
        <f>VLOOKUP(C78,[1]PriceList!$C:$D,2,0)</f>
        <v>Agniveer</v>
      </c>
      <c r="E78" s="19" t="e">
        <f>VLOOKUP(C78,[2]PriceList!$C:$D,2,0)</f>
        <v>#N/A</v>
      </c>
      <c r="F78" s="19" t="e">
        <f>VLOOKUP(C78,[3]PriceList!$C:$D,2,0)</f>
        <v>#N/A</v>
      </c>
      <c r="G78" s="19" t="e">
        <f>VLOOKUP(C78,[4]PriceList!$C:$D,2,0)</f>
        <v>#N/A</v>
      </c>
      <c r="H78" s="19" t="e">
        <f>VLOOKUP(C78,[6]PriceList!$C:$D,2,0)</f>
        <v>#N/A</v>
      </c>
      <c r="I78" s="19" t="str">
        <f>VLOOKUP(C78,[7]PriceList!$C:$D,2,0)</f>
        <v>Tag Cent</v>
      </c>
      <c r="J78" s="19" t="e">
        <f>VLOOKUP(C78,[5]PriceList!$C:$D,2,0)</f>
        <v>#N/A</v>
      </c>
      <c r="K78" s="18" t="e">
        <f>VLOOKUP(C78,[8]PriceList!$C:$D,2,0)</f>
        <v>#N/A</v>
      </c>
    </row>
    <row r="79" spans="1:11" x14ac:dyDescent="0.3">
      <c r="A79" s="18">
        <v>78</v>
      </c>
      <c r="B79" s="18"/>
      <c r="C79" s="28" t="s">
        <v>254</v>
      </c>
      <c r="D79" s="19" t="e">
        <f>VLOOKUP(C79,[1]PriceList!$C:$D,2,0)</f>
        <v>#N/A</v>
      </c>
      <c r="E79" s="19" t="e">
        <f>VLOOKUP(C79,[2]PriceList!$C:$D,2,0)</f>
        <v>#N/A</v>
      </c>
      <c r="F79" s="19" t="e">
        <f>VLOOKUP(C79,[3]PriceList!$C:$D,2,0)</f>
        <v>#N/A</v>
      </c>
      <c r="G79" s="19" t="e">
        <f>VLOOKUP(C79,[4]PriceList!$C:$D,2,0)</f>
        <v>#N/A</v>
      </c>
      <c r="H79" s="19" t="e">
        <f>VLOOKUP(C79,[6]PriceList!$C:$D,2,0)</f>
        <v>#N/A</v>
      </c>
      <c r="I79" s="19" t="e">
        <f>VLOOKUP(C79,[7]PriceList!$C:$D,2,0)</f>
        <v>#N/A</v>
      </c>
      <c r="J79" s="19" t="e">
        <f>VLOOKUP(C79,[5]PriceList!$C:$D,2,0)</f>
        <v>#N/A</v>
      </c>
      <c r="K79" s="18" t="str">
        <f>VLOOKUP(C79,[8]PriceList!$C:$D,2,0)</f>
        <v>Fighter</v>
      </c>
    </row>
    <row r="80" spans="1:11" x14ac:dyDescent="0.3">
      <c r="A80" s="18">
        <v>79</v>
      </c>
      <c r="B80" s="18"/>
      <c r="C80" s="19" t="s">
        <v>226</v>
      </c>
      <c r="D80" s="19" t="e">
        <f>VLOOKUP(C80,[1]PriceList!$C:$D,2,0)</f>
        <v>#N/A</v>
      </c>
      <c r="E80" s="19" t="str">
        <f>VLOOKUP(C80,[2]PriceList!$C:$D,2,0)</f>
        <v>Sanbenzo Plus</v>
      </c>
      <c r="F80" s="19" t="e">
        <f>VLOOKUP(C80,[3]PriceList!$C:$D,2,0)</f>
        <v>#N/A</v>
      </c>
      <c r="G80" s="19" t="str">
        <f>VLOOKUP(C80,[4]PriceList!$C:$D,2,0)</f>
        <v>Larvex</v>
      </c>
      <c r="H80" s="19" t="e">
        <f>VLOOKUP(C80,[6]PriceList!$C:$D,2,0)</f>
        <v>#N/A</v>
      </c>
      <c r="I80" s="19" t="str">
        <f>VLOOKUP(C80,[7]PriceList!$C:$D,2,0)</f>
        <v>Tag Turbo</v>
      </c>
      <c r="J80" s="19" t="str">
        <f>VLOOKUP(C80,[5]PriceList!$C:$D,2,0)</f>
        <v>Pashupatastra</v>
      </c>
      <c r="K80" s="18" t="e">
        <f>VLOOKUP(C80,[8]PriceList!$C:$D,2,0)</f>
        <v>#N/A</v>
      </c>
    </row>
    <row r="81" spans="1:11" x14ac:dyDescent="0.3">
      <c r="A81" s="18">
        <v>80</v>
      </c>
      <c r="B81" s="18" t="s">
        <v>234</v>
      </c>
      <c r="C81" s="19" t="s">
        <v>14</v>
      </c>
      <c r="D81" s="19" t="str">
        <f>VLOOKUP(C81,[1]PriceList!$C:$D,2,0)</f>
        <v>Kitakata</v>
      </c>
      <c r="E81" s="19" t="str">
        <f>VLOOKUP(C81,[2]PriceList!$C:$D,2,0)</f>
        <v>San Benzo</v>
      </c>
      <c r="F81" s="19" t="str">
        <f>VLOOKUP(C81,[3]PriceList!$C:$D,2,0)</f>
        <v>Bomber</v>
      </c>
      <c r="G81" s="19" t="str">
        <f>VLOOKUP(C81,[4]PriceList!$C:$D,2,0)</f>
        <v>Larva</v>
      </c>
      <c r="H81" s="19" t="str">
        <f>VLOOKUP(C81,[6]PriceList!$C:$D,2,0)</f>
        <v>Treta</v>
      </c>
      <c r="I81" s="19" t="str">
        <f>VLOOKUP(C81,[7]PriceList!$C:$D,2,0)</f>
        <v>Tag Emboz</v>
      </c>
      <c r="J81" s="19" t="str">
        <f>VLOOKUP(C81,[5]PriceList!$C:$D,2,0)</f>
        <v>Ghandeev</v>
      </c>
      <c r="K81" s="18" t="str">
        <f>VLOOKUP(C81,[8]PriceList!$C:$D,2,0)</f>
        <v>Safari</v>
      </c>
    </row>
    <row r="82" spans="1:11" x14ac:dyDescent="0.3">
      <c r="A82" s="18">
        <v>81</v>
      </c>
      <c r="B82" s="18"/>
      <c r="C82" s="19" t="s">
        <v>160</v>
      </c>
      <c r="D82" s="19" t="e">
        <f>VLOOKUP(C82,[1]PriceList!$C:$D,2,0)</f>
        <v>#N/A</v>
      </c>
      <c r="E82" s="19" t="str">
        <f>VLOOKUP(C82,[2]PriceList!$C:$D,2,0)</f>
        <v>Sanphon</v>
      </c>
      <c r="F82" s="19" t="e">
        <f>VLOOKUP(C82,[3]PriceList!$C:$D,2,0)</f>
        <v>#N/A</v>
      </c>
      <c r="G82" s="19" t="str">
        <f>VLOOKUP(C82,[4]PriceList!$C:$D,2,0)</f>
        <v>Riphon</v>
      </c>
      <c r="H82" s="19" t="e">
        <f>VLOOKUP(C82,[6]PriceList!$C:$D,2,0)</f>
        <v>#N/A</v>
      </c>
      <c r="I82" s="19" t="str">
        <f>VLOOKUP(C82,[7]PriceList!$C:$D,2,0)</f>
        <v>Tagpon-39</v>
      </c>
      <c r="J82" s="19" t="e">
        <f>VLOOKUP(C82,[5]PriceList!$C:$D,2,0)</f>
        <v>#N/A</v>
      </c>
      <c r="K82" s="18" t="e">
        <f>VLOOKUP(C82,[8]PriceList!$C:$D,2,0)</f>
        <v>#N/A</v>
      </c>
    </row>
    <row r="83" spans="1:11" x14ac:dyDescent="0.3">
      <c r="A83" s="18">
        <v>82</v>
      </c>
      <c r="B83" s="18"/>
      <c r="C83" s="19" t="s">
        <v>230</v>
      </c>
      <c r="D83" s="19" t="e">
        <f>VLOOKUP(C83,[1]PriceList!$C:$D,2,0)</f>
        <v>#N/A</v>
      </c>
      <c r="E83" s="19" t="str">
        <f>VLOOKUP(C83,[2]PriceList!$C:$D,2,0)</f>
        <v>San Ec Mix</v>
      </c>
      <c r="F83" s="19" t="str">
        <f>VLOOKUP(C83,[3]PriceList!$C:$D,2,0)</f>
        <v xml:space="preserve">Ethax
</v>
      </c>
      <c r="G83" s="19" t="str">
        <f>VLOOKUP(C83,[4]PriceList!$C:$D,2,0)</f>
        <v>Maar-45</v>
      </c>
      <c r="H83" s="19" t="e">
        <f>VLOOKUP(C83,[6]PriceList!$C:$D,2,0)</f>
        <v>#N/A</v>
      </c>
      <c r="I83" s="19" t="str">
        <f>VLOOKUP(C83,[7]PriceList!$C:$D,2,0)</f>
        <v>Sonata</v>
      </c>
      <c r="J83" s="19" t="str">
        <f>VLOOKUP(C83,[5]PriceList!$C:$D,2,0)</f>
        <v>Kiyana</v>
      </c>
      <c r="K83" s="18" t="e">
        <f>VLOOKUP(C83,[8]PriceList!$C:$D,2,0)</f>
        <v>#N/A</v>
      </c>
    </row>
    <row r="84" spans="1:11" x14ac:dyDescent="0.3">
      <c r="A84" s="18">
        <v>83</v>
      </c>
      <c r="B84" s="18"/>
      <c r="C84" s="19" t="s">
        <v>270</v>
      </c>
      <c r="D84" s="19" t="e">
        <f>VLOOKUP(C84,[1]PriceList!$C:$D,2,0)</f>
        <v>#N/A</v>
      </c>
      <c r="E84" s="19" t="str">
        <f>VLOOKUP(C84,[2]PriceList!$C:$D,2,0)</f>
        <v>Saneton</v>
      </c>
      <c r="F84" s="19" t="e">
        <f>VLOOKUP(C84,[3]PriceList!$C:$D,2,0)</f>
        <v>#N/A</v>
      </c>
      <c r="G84" s="19" t="e">
        <f>VLOOKUP(C84,[4]PriceList!$C:$D,2,0)</f>
        <v>#N/A</v>
      </c>
      <c r="H84" s="19" t="e">
        <f>VLOOKUP(C84,[6]PriceList!$C:$D,2,0)</f>
        <v>#N/A</v>
      </c>
      <c r="I84" s="19" t="str">
        <f>VLOOKUP(C84,[7]PriceList!$C:$D,2,0)</f>
        <v>Novathion</v>
      </c>
      <c r="J84" s="19" t="str">
        <f>VLOOKUP(C84,[5]PriceList!$C:$D,2,0)</f>
        <v>Pit</v>
      </c>
      <c r="K84" s="18" t="e">
        <f>VLOOKUP(C84,[8]PriceList!$C:$D,2,0)</f>
        <v>#N/A</v>
      </c>
    </row>
    <row r="85" spans="1:11" x14ac:dyDescent="0.3">
      <c r="A85" s="18">
        <v>84</v>
      </c>
      <c r="B85" s="18"/>
      <c r="C85" s="19" t="s">
        <v>29</v>
      </c>
      <c r="D85" s="19" t="str">
        <f>VLOOKUP(C85,[1]PriceList!$C:$D,2,0)</f>
        <v>Betab</v>
      </c>
      <c r="E85" s="19" t="e">
        <f>VLOOKUP(C85,[2]PriceList!$C:$D,2,0)</f>
        <v>#N/A</v>
      </c>
      <c r="F85" s="19" t="e">
        <f>VLOOKUP(C85,[3]PriceList!$C:$D,2,0)</f>
        <v>#N/A</v>
      </c>
      <c r="G85" s="19" t="e">
        <f>VLOOKUP(C85,[4]PriceList!$C:$D,2,0)</f>
        <v>#N/A</v>
      </c>
      <c r="H85" s="19" t="e">
        <f>VLOOKUP(C85,[6]PriceList!$C:$D,2,0)</f>
        <v>#N/A</v>
      </c>
      <c r="I85" s="19" t="e">
        <f>VLOOKUP(C85,[7]PriceList!$C:$D,2,0)</f>
        <v>#N/A</v>
      </c>
      <c r="J85" s="19" t="e">
        <f>VLOOKUP(C85,[5]PriceList!$C:$D,2,0)</f>
        <v>#N/A</v>
      </c>
      <c r="K85" s="18" t="e">
        <f>VLOOKUP(C85,[8]PriceList!$C:$D,2,0)</f>
        <v>#N/A</v>
      </c>
    </row>
    <row r="86" spans="1:11" x14ac:dyDescent="0.3">
      <c r="A86" s="18">
        <v>85</v>
      </c>
      <c r="B86" s="18"/>
      <c r="C86" s="31" t="s">
        <v>289</v>
      </c>
      <c r="D86" s="19" t="e">
        <f>VLOOKUP(C86,[1]PriceList!$C:$D,2,0)</f>
        <v>#N/A</v>
      </c>
      <c r="E86" s="19" t="e">
        <f>VLOOKUP(C86,[2]PriceList!$C:$D,2,0)</f>
        <v>#N/A</v>
      </c>
      <c r="F86" s="19" t="e">
        <f>VLOOKUP(C86,[3]PriceList!$C:$D,2,0)</f>
        <v>#N/A</v>
      </c>
      <c r="G86" s="19" t="e">
        <f>VLOOKUP(C86,[4]PriceList!$C:$D,2,0)</f>
        <v>#N/A</v>
      </c>
      <c r="H86" s="19" t="e">
        <f>VLOOKUP(C86,[6]PriceList!$C:$D,2,0)</f>
        <v>#N/A</v>
      </c>
      <c r="I86" s="19" t="str">
        <f>VLOOKUP(C86,[7]PriceList!$C:$D,2,0)</f>
        <v>Tag Paddystar</v>
      </c>
      <c r="J86" s="19" t="e">
        <f>VLOOKUP(C86,[5]PriceList!$C:$D,2,0)</f>
        <v>#N/A</v>
      </c>
      <c r="K86" s="18" t="e">
        <f>VLOOKUP(C86,[8]PriceList!$C:$D,2,0)</f>
        <v>#N/A</v>
      </c>
    </row>
    <row r="87" spans="1:11" x14ac:dyDescent="0.3">
      <c r="A87" s="18">
        <v>86</v>
      </c>
      <c r="B87" s="18"/>
      <c r="C87" s="19" t="s">
        <v>103</v>
      </c>
      <c r="D87" s="19" t="str">
        <f>VLOOKUP(C87,[1]PriceList!$C:$D,2,0)</f>
        <v>Americano</v>
      </c>
      <c r="E87" s="19" t="e">
        <f>VLOOKUP(C87,[2]PriceList!$C:$D,2,0)</f>
        <v>#N/A</v>
      </c>
      <c r="F87" s="19" t="e">
        <f>VLOOKUP(C87,[3]PriceList!$C:$D,2,0)</f>
        <v>#N/A</v>
      </c>
      <c r="G87" s="19" t="e">
        <f>VLOOKUP(C87,[4]PriceList!$C:$D,2,0)</f>
        <v>#N/A</v>
      </c>
      <c r="H87" s="19" t="e">
        <f>VLOOKUP(C87,[6]PriceList!$C:$D,2,0)</f>
        <v>#N/A</v>
      </c>
      <c r="I87" s="19" t="str">
        <f>VLOOKUP(C87,[7]PriceList!$C:$D,2,0)</f>
        <v>Nova Super</v>
      </c>
      <c r="J87" s="19" t="e">
        <f>VLOOKUP(C87,[5]PriceList!$C:$D,2,0)</f>
        <v>#N/A</v>
      </c>
      <c r="K87" s="18" t="e">
        <f>VLOOKUP(C87,[8]PriceList!$C:$D,2,0)</f>
        <v>#N/A</v>
      </c>
    </row>
    <row r="88" spans="1:11" x14ac:dyDescent="0.3">
      <c r="A88" s="18">
        <v>87</v>
      </c>
      <c r="B88" s="18"/>
      <c r="C88" s="19" t="s">
        <v>162</v>
      </c>
      <c r="D88" s="19" t="e">
        <f>VLOOKUP(C88,[1]PriceList!$C:$D,2,0)</f>
        <v>#N/A</v>
      </c>
      <c r="E88" s="19" t="e">
        <f>VLOOKUP(C88,[2]PriceList!$C:$D,2,0)</f>
        <v>#N/A</v>
      </c>
      <c r="F88" s="19" t="str">
        <f>VLOOKUP(C88,[3]PriceList!$C:$D,2,0)</f>
        <v>Axgate</v>
      </c>
      <c r="G88" s="19" t="str">
        <f>VLOOKUP(C88,[4]PriceList!$C:$D,2,0)</f>
        <v>Cascade</v>
      </c>
      <c r="H88" s="19" t="e">
        <f>VLOOKUP(C88,[6]PriceList!$C:$D,2,0)</f>
        <v>#N/A</v>
      </c>
      <c r="I88" s="19" t="e">
        <f>VLOOKUP(C88,[7]PriceList!$C:$D,2,0)</f>
        <v>#N/A</v>
      </c>
      <c r="J88" s="19" t="e">
        <f>VLOOKUP(C88,[5]PriceList!$C:$D,2,0)</f>
        <v>#N/A</v>
      </c>
      <c r="K88" s="18" t="str">
        <f>VLOOKUP(C88,[8]PriceList!$C:$D,2,0)</f>
        <v>Amazer</v>
      </c>
    </row>
    <row r="89" spans="1:11" x14ac:dyDescent="0.3">
      <c r="A89" s="18">
        <v>88</v>
      </c>
      <c r="B89" s="18"/>
      <c r="C89" s="19" t="s">
        <v>34</v>
      </c>
      <c r="D89" s="19" t="str">
        <f>VLOOKUP(C89,[1]PriceList!$C:$D,2,0)</f>
        <v>Fitoor gr</v>
      </c>
      <c r="E89" s="19" t="str">
        <f>VLOOKUP(C89,[2]PriceList!$C:$D,2,0)</f>
        <v>San Fipro 0.3</v>
      </c>
      <c r="F89" s="19" t="e">
        <f>VLOOKUP(C89,[3]PriceList!$C:$D,2,0)</f>
        <v>#N/A</v>
      </c>
      <c r="G89" s="19" t="str">
        <f>VLOOKUP(C89,[4]PriceList!$C:$D,2,0)</f>
        <v>Aalgent-Gr</v>
      </c>
      <c r="H89" s="19" t="str">
        <f>VLOOKUP(C89,[6]PriceList!$C:$D,2,0)</f>
        <v>Biltop Gr</v>
      </c>
      <c r="I89" s="19" t="str">
        <f>VLOOKUP(C89,[7]PriceList!$C:$D,2,0)</f>
        <v>Tag Agent GR</v>
      </c>
      <c r="J89" s="19" t="e">
        <f>VLOOKUP(C89,[5]PriceList!$C:$D,2,0)</f>
        <v>#N/A</v>
      </c>
      <c r="K89" s="18" t="str">
        <f>VLOOKUP(C89,[8]PriceList!$C:$D,2,0)</f>
        <v>Refree GR</v>
      </c>
    </row>
    <row r="90" spans="1:11" x14ac:dyDescent="0.3">
      <c r="A90" s="18">
        <v>89</v>
      </c>
      <c r="B90" s="18"/>
      <c r="C90" s="31" t="s">
        <v>279</v>
      </c>
      <c r="D90" s="19" t="e">
        <f>VLOOKUP(C90,[1]PriceList!$C:$D,2,0)</f>
        <v>#N/A</v>
      </c>
      <c r="E90" s="19" t="str">
        <f>VLOOKUP(C90,[2]PriceList!$C:$D,2,0)</f>
        <v>San Fipro O.6 Gr</v>
      </c>
      <c r="F90" s="19" t="e">
        <f>VLOOKUP(C90,[3]PriceList!$C:$D,2,0)</f>
        <v>#N/A</v>
      </c>
      <c r="G90" s="19" t="e">
        <f>VLOOKUP(C90,[4]PriceList!$C:$D,2,0)</f>
        <v>#N/A</v>
      </c>
      <c r="H90" s="19" t="str">
        <f>VLOOKUP(C90,[6]PriceList!$C:$D,2,0)</f>
        <v>Biltop Gold Gr</v>
      </c>
      <c r="I90" s="19" t="str">
        <f>VLOOKUP(C90,[7]PriceList!$C:$D,2,0)</f>
        <v>Tag Agent Ultra</v>
      </c>
      <c r="J90" s="19" t="e">
        <f>VLOOKUP(C90,[5]PriceList!$C:$D,2,0)</f>
        <v>#N/A</v>
      </c>
      <c r="K90" s="18" t="e">
        <f>VLOOKUP(C90,[8]PriceList!$C:$D,2,0)</f>
        <v>#N/A</v>
      </c>
    </row>
    <row r="91" spans="1:11" x14ac:dyDescent="0.3">
      <c r="A91" s="18">
        <v>90</v>
      </c>
      <c r="B91" s="18"/>
      <c r="C91" s="19" t="s">
        <v>37</v>
      </c>
      <c r="D91" s="19" t="str">
        <f>VLOOKUP(C91,[1]PriceList!$C:$D,2,0)</f>
        <v>Doklam gold</v>
      </c>
      <c r="E91" s="19" t="e">
        <f>VLOOKUP(C91,[2]PriceList!$C:$D,2,0)</f>
        <v>#N/A</v>
      </c>
      <c r="F91" s="19" t="e">
        <f>VLOOKUP(C91,[3]PriceList!$C:$D,2,0)</f>
        <v>#N/A</v>
      </c>
      <c r="G91" s="19" t="e">
        <f>VLOOKUP(C91,[4]PriceList!$C:$D,2,0)</f>
        <v>#N/A</v>
      </c>
      <c r="H91" s="19" t="e">
        <f>VLOOKUP(C91,[6]PriceList!$C:$D,2,0)</f>
        <v>#N/A</v>
      </c>
      <c r="I91" s="19" t="e">
        <f>VLOOKUP(C91,[7]PriceList!$C:$D,2,0)</f>
        <v>#N/A</v>
      </c>
      <c r="J91" s="19" t="e">
        <f>VLOOKUP(C91,[5]PriceList!$C:$D,2,0)</f>
        <v>#N/A</v>
      </c>
      <c r="K91" s="18" t="e">
        <f>VLOOKUP(C91,[8]PriceList!$C:$D,2,0)</f>
        <v>#N/A</v>
      </c>
    </row>
    <row r="92" spans="1:11" x14ac:dyDescent="0.3">
      <c r="A92" s="18">
        <v>91</v>
      </c>
      <c r="B92" s="18"/>
      <c r="C92" s="31" t="s">
        <v>282</v>
      </c>
      <c r="D92" s="19" t="e">
        <f>VLOOKUP(C92,[1]PriceList!$C:$D,2,0)</f>
        <v>#N/A</v>
      </c>
      <c r="E92" s="19" t="e">
        <f>VLOOKUP(C92,[2]PriceList!$C:$D,2,0)</f>
        <v>#N/A</v>
      </c>
      <c r="F92" s="19" t="e">
        <f>VLOOKUP(C92,[3]PriceList!$C:$D,2,0)</f>
        <v>#N/A</v>
      </c>
      <c r="G92" s="19" t="e">
        <f>VLOOKUP(C92,[4]PriceList!$C:$D,2,0)</f>
        <v>#N/A</v>
      </c>
      <c r="H92" s="19" t="e">
        <f>VLOOKUP(C92,[6]PriceList!$C:$D,2,0)</f>
        <v>#N/A</v>
      </c>
      <c r="I92" s="19" t="str">
        <f>VLOOKUP(C92,[7]PriceList!$C:$D,2,0)</f>
        <v>Tag Nomite Gold</v>
      </c>
      <c r="J92" s="19" t="e">
        <f>VLOOKUP(C92,[5]PriceList!$C:$D,2,0)</f>
        <v>#N/A</v>
      </c>
      <c r="K92" s="18" t="e">
        <f>VLOOKUP(C92,[8]PriceList!$C:$D,2,0)</f>
        <v>#N/A</v>
      </c>
    </row>
    <row r="93" spans="1:11" x14ac:dyDescent="0.3">
      <c r="A93" s="18">
        <v>92</v>
      </c>
      <c r="B93" s="18"/>
      <c r="C93" s="28" t="s">
        <v>240</v>
      </c>
      <c r="D93" s="19" t="e">
        <f>VLOOKUP(C93,[1]PriceList!$C:$D,2,0)</f>
        <v>#N/A</v>
      </c>
      <c r="E93" s="19" t="e">
        <f>VLOOKUP(C93,[2]PriceList!$C:$D,2,0)</f>
        <v>#N/A</v>
      </c>
      <c r="F93" s="19" t="e">
        <f>VLOOKUP(C93,[3]PriceList!$C:$D,2,0)</f>
        <v>#N/A</v>
      </c>
      <c r="G93" s="19" t="e">
        <f>VLOOKUP(C93,[4]PriceList!$C:$D,2,0)</f>
        <v>#N/A</v>
      </c>
      <c r="H93" s="19" t="e">
        <f>VLOOKUP(C93,[6]PriceList!$C:$D,2,0)</f>
        <v>#N/A</v>
      </c>
      <c r="I93" s="19" t="e">
        <f>VLOOKUP(C93,[7]PriceList!$C:$D,2,0)</f>
        <v>#N/A</v>
      </c>
      <c r="J93" s="19" t="str">
        <f>VLOOKUP(C93,[5]PriceList!$C:$D,2,0)</f>
        <v>Armani</v>
      </c>
      <c r="K93" s="18" t="e">
        <f>VLOOKUP(C93,[8]PriceList!$C:$D,2,0)</f>
        <v>#N/A</v>
      </c>
    </row>
    <row r="94" spans="1:11" x14ac:dyDescent="0.3">
      <c r="A94" s="18">
        <v>93</v>
      </c>
      <c r="B94" s="18"/>
      <c r="C94" s="19" t="s">
        <v>28</v>
      </c>
      <c r="D94" s="19" t="str">
        <f>VLOOKUP(C94,[1]PriceList!$C:$D,2,0)</f>
        <v>Splendor</v>
      </c>
      <c r="E94" s="19" t="e">
        <f>VLOOKUP(C94,[2]PriceList!$C:$D,2,0)</f>
        <v>#N/A</v>
      </c>
      <c r="F94" s="19" t="e">
        <f>VLOOKUP(C94,[3]PriceList!$C:$D,2,0)</f>
        <v>#N/A</v>
      </c>
      <c r="G94" s="19" t="e">
        <f>VLOOKUP(C94,[4]PriceList!$C:$D,2,0)</f>
        <v>#N/A</v>
      </c>
      <c r="H94" s="19" t="e">
        <f>VLOOKUP(C94,[6]PriceList!$C:$D,2,0)</f>
        <v>#N/A</v>
      </c>
      <c r="I94" s="19" t="e">
        <f>VLOOKUP(C94,[7]PriceList!$C:$D,2,0)</f>
        <v>#N/A</v>
      </c>
      <c r="J94" s="19" t="e">
        <f>VLOOKUP(C94,[5]PriceList!$C:$D,2,0)</f>
        <v>#N/A</v>
      </c>
      <c r="K94" s="18" t="e">
        <f>VLOOKUP(C94,[8]PriceList!$C:$D,2,0)</f>
        <v>#N/A</v>
      </c>
    </row>
    <row r="95" spans="1:11" x14ac:dyDescent="0.3">
      <c r="A95" s="18">
        <v>94</v>
      </c>
      <c r="B95" s="18"/>
      <c r="C95" s="19" t="s">
        <v>126</v>
      </c>
      <c r="D95" s="19" t="e">
        <f>VLOOKUP(C95,[1]PriceList!$C:$D,2,0)</f>
        <v>#N/A</v>
      </c>
      <c r="E95" s="19" t="str">
        <f>VLOOKUP(C95,[2]PriceList!$C:$D,2,0)</f>
        <v>San Fipro I +</v>
      </c>
      <c r="F95" s="19" t="e">
        <f>VLOOKUP(C95,[3]PriceList!$C:$D,2,0)</f>
        <v>#N/A</v>
      </c>
      <c r="G95" s="19" t="str">
        <f>VLOOKUP(C95,[4]PriceList!$C:$D,2,0)</f>
        <v>Bigboss</v>
      </c>
      <c r="H95" s="19" t="str">
        <f>VLOOKUP(C95,[6]PriceList!$C:$D,2,0)</f>
        <v>Deed</v>
      </c>
      <c r="I95" s="19" t="str">
        <f>VLOOKUP(C95,[7]PriceList!$C:$D,2,0)</f>
        <v>Tag Poll</v>
      </c>
      <c r="J95" s="19" t="str">
        <f>VLOOKUP(C95,[5]PriceList!$C:$D,2,0)</f>
        <v>B S F</v>
      </c>
      <c r="K95" s="18" t="e">
        <f>VLOOKUP(C95,[8]PriceList!$C:$D,2,0)</f>
        <v>#N/A</v>
      </c>
    </row>
    <row r="96" spans="1:11" x14ac:dyDescent="0.3">
      <c r="A96" s="18">
        <v>95</v>
      </c>
      <c r="B96" s="18"/>
      <c r="C96" s="19" t="s">
        <v>170</v>
      </c>
      <c r="D96" s="19" t="e">
        <f>VLOOKUP(C96,[1]PriceList!$C:$D,2,0)</f>
        <v>#N/A</v>
      </c>
      <c r="E96" s="19" t="e">
        <f>VLOOKUP(C96,[2]PriceList!$C:$D,2,0)</f>
        <v>#N/A</v>
      </c>
      <c r="F96" s="19" t="str">
        <f>VLOOKUP(C96,[3]PriceList!$C:$D,2,0)</f>
        <v xml:space="preserve">Shoot
</v>
      </c>
      <c r="G96" s="19" t="e">
        <f>VLOOKUP(C96,[4]PriceList!$C:$D,2,0)</f>
        <v>#N/A</v>
      </c>
      <c r="H96" s="19" t="e">
        <f>VLOOKUP(C96,[6]PriceList!$C:$D,2,0)</f>
        <v>#N/A</v>
      </c>
      <c r="I96" s="19" t="e">
        <f>VLOOKUP(C96,[7]PriceList!$C:$D,2,0)</f>
        <v>#N/A</v>
      </c>
      <c r="J96" s="19" t="e">
        <f>VLOOKUP(C96,[5]PriceList!$C:$D,2,0)</f>
        <v>#N/A</v>
      </c>
      <c r="K96" s="18" t="e">
        <f>VLOOKUP(C96,[8]PriceList!$C:$D,2,0)</f>
        <v>#N/A</v>
      </c>
    </row>
    <row r="97" spans="1:11" x14ac:dyDescent="0.3">
      <c r="A97" s="18">
        <v>96</v>
      </c>
      <c r="B97" s="18"/>
      <c r="C97" s="27" t="s">
        <v>267</v>
      </c>
      <c r="D97" s="19" t="e">
        <f>VLOOKUP(C97,[1]PriceList!$C:$D,2,0)</f>
        <v>#N/A</v>
      </c>
      <c r="E97" s="19" t="str">
        <f>VLOOKUP(C97,[2]PriceList!$C:$D,2,0)</f>
        <v>San Fipro Super</v>
      </c>
      <c r="F97" s="19" t="str">
        <f>VLOOKUP(C97,[3]PriceList!$C:$D,2,0)</f>
        <v>Rexint</v>
      </c>
      <c r="G97" s="19" t="str">
        <f>VLOOKUP(C97,[4]PriceList!$C:$D,2,0)</f>
        <v>Aalgent</v>
      </c>
      <c r="H97" s="19" t="str">
        <f>VLOOKUP(C97,[6]PriceList!$C:$D,2,0)</f>
        <v>Biltop Sc</v>
      </c>
      <c r="I97" s="19" t="str">
        <f>VLOOKUP(C97,[7]PriceList!$C:$D,2,0)</f>
        <v>Tag Agent</v>
      </c>
      <c r="J97" s="19" t="str">
        <f>VLOOKUP(C97,[5]PriceList!$C:$D,2,0)</f>
        <v>Parashu</v>
      </c>
      <c r="K97" s="18" t="str">
        <f>VLOOKUP(C97,[8]PriceList!$C:$D,2,0)</f>
        <v>Refree</v>
      </c>
    </row>
    <row r="98" spans="1:11" x14ac:dyDescent="0.3">
      <c r="A98" s="18">
        <v>97</v>
      </c>
      <c r="B98" s="18"/>
      <c r="C98" s="31" t="s">
        <v>292</v>
      </c>
      <c r="D98" s="19" t="e">
        <f>VLOOKUP(C98,[1]PriceList!$C:$D,2,0)</f>
        <v>#N/A</v>
      </c>
      <c r="E98" s="19" t="e">
        <f>VLOOKUP(C98,[2]PriceList!$C:$D,2,0)</f>
        <v>#N/A</v>
      </c>
      <c r="F98" s="19" t="e">
        <f>VLOOKUP(C98,[3]PriceList!$C:$D,2,0)</f>
        <v>#N/A</v>
      </c>
      <c r="G98" s="19" t="str">
        <f>VLOOKUP(C98,[4]PriceList!$C:$D,2,0)</f>
        <v>Dash</v>
      </c>
      <c r="H98" s="19" t="e">
        <f>VLOOKUP(C98,[6]PriceList!$C:$D,2,0)</f>
        <v>#N/A</v>
      </c>
      <c r="I98" s="19" t="str">
        <f>VLOOKUP(C98,[7]PriceList!$C:$D,2,0)</f>
        <v>Tag Kleen Mite</v>
      </c>
      <c r="J98" s="19" t="e">
        <f>VLOOKUP(C98,[5]PriceList!$C:$D,2,0)</f>
        <v>#N/A</v>
      </c>
      <c r="K98" s="18" t="e">
        <f>VLOOKUP(C98,[8]PriceList!$C:$D,2,0)</f>
        <v>#N/A</v>
      </c>
    </row>
    <row r="99" spans="1:11" x14ac:dyDescent="0.3">
      <c r="A99" s="18">
        <v>98</v>
      </c>
      <c r="B99" s="18"/>
      <c r="C99" s="19" t="s">
        <v>138</v>
      </c>
      <c r="D99" s="19" t="e">
        <f>VLOOKUP(C99,[1]PriceList!$C:$D,2,0)</f>
        <v>#N/A</v>
      </c>
      <c r="E99" s="19" t="str">
        <f>VLOOKUP(C99,[2]PriceList!$C:$D,2,0)</f>
        <v>Zemp</v>
      </c>
      <c r="F99" s="19" t="str">
        <f>VLOOKUP(C99,[3]PriceList!$C:$D,2,0)</f>
        <v>Just</v>
      </c>
      <c r="G99" s="19" t="str">
        <f>VLOOKUP(C99,[4]PriceList!$C:$D,2,0)</f>
        <v>Bumper</v>
      </c>
      <c r="H99" s="19" t="e">
        <f>VLOOKUP(C99,[6]PriceList!$C:$D,2,0)</f>
        <v>#N/A</v>
      </c>
      <c r="I99" s="19" t="str">
        <f>VLOOKUP(C99,[7]PriceList!$C:$D,2,0)</f>
        <v>Tag Trump</v>
      </c>
      <c r="J99" s="19" t="str">
        <f>VLOOKUP(C99,[5]PriceList!$C:$D,2,0)</f>
        <v>Parashu Strong</v>
      </c>
      <c r="K99" s="18" t="e">
        <f>VLOOKUP(C99,[8]PriceList!$C:$D,2,0)</f>
        <v>#N/A</v>
      </c>
    </row>
    <row r="100" spans="1:11" x14ac:dyDescent="0.3">
      <c r="A100" s="18">
        <v>99</v>
      </c>
      <c r="B100" s="18"/>
      <c r="C100" s="19" t="s">
        <v>16</v>
      </c>
      <c r="D100" s="19" t="str">
        <f>VLOOKUP(C100,[1]PriceList!$C:$D,2,0)</f>
        <v>Radiation</v>
      </c>
      <c r="E100" s="19" t="e">
        <f>VLOOKUP(C100,[2]PriceList!$C:$D,2,0)</f>
        <v>#N/A</v>
      </c>
      <c r="F100" s="19" t="e">
        <f>VLOOKUP(C100,[3]PriceList!$C:$D,2,0)</f>
        <v>#N/A</v>
      </c>
      <c r="G100" s="19" t="e">
        <f>VLOOKUP(C100,[4]PriceList!$C:$D,2,0)</f>
        <v>#N/A</v>
      </c>
      <c r="H100" s="19" t="e">
        <f>VLOOKUP(C100,[6]PriceList!$C:$D,2,0)</f>
        <v>#N/A</v>
      </c>
      <c r="I100" s="19" t="e">
        <f>VLOOKUP(C100,[7]PriceList!$C:$D,2,0)</f>
        <v>#N/A</v>
      </c>
      <c r="J100" s="19" t="e">
        <f>VLOOKUP(C100,[5]PriceList!$C:$D,2,0)</f>
        <v>#N/A</v>
      </c>
      <c r="K100" s="18" t="e">
        <f>VLOOKUP(C100,[8]PriceList!$C:$D,2,0)</f>
        <v>#N/A</v>
      </c>
    </row>
    <row r="101" spans="1:11" x14ac:dyDescent="0.3">
      <c r="A101" s="18">
        <v>100</v>
      </c>
      <c r="B101" s="18"/>
      <c r="C101" s="19" t="s">
        <v>10</v>
      </c>
      <c r="D101" s="19" t="str">
        <f>VLOOKUP(C101,[1]PriceList!$C:$D,2,0)</f>
        <v>Gazillion wg</v>
      </c>
      <c r="E101" s="19" t="e">
        <f>VLOOKUP(C101,[2]PriceList!$C:$D,2,0)</f>
        <v>#N/A</v>
      </c>
      <c r="F101" s="19" t="e">
        <f>VLOOKUP(C101,[3]PriceList!$C:$D,2,0)</f>
        <v>#N/A</v>
      </c>
      <c r="G101" s="19" t="e">
        <f>VLOOKUP(C101,[4]PriceList!$C:$D,2,0)</f>
        <v>#N/A</v>
      </c>
      <c r="H101" s="19" t="e">
        <f>VLOOKUP(C101,[6]PriceList!$C:$D,2,0)</f>
        <v>#N/A</v>
      </c>
      <c r="I101" s="19" t="e">
        <f>VLOOKUP(C101,[7]PriceList!$C:$D,2,0)</f>
        <v>#N/A</v>
      </c>
      <c r="J101" s="19" t="e">
        <f>VLOOKUP(C101,[5]PriceList!$C:$D,2,0)</f>
        <v>#N/A</v>
      </c>
      <c r="K101" s="18" t="e">
        <f>VLOOKUP(C101,[8]PriceList!$C:$D,2,0)</f>
        <v>#N/A</v>
      </c>
    </row>
    <row r="102" spans="1:11" x14ac:dyDescent="0.3">
      <c r="A102" s="18">
        <v>101</v>
      </c>
      <c r="B102" s="18"/>
      <c r="C102" s="19" t="s">
        <v>9</v>
      </c>
      <c r="D102" s="19" t="str">
        <f>VLOOKUP(C102,[1]PriceList!$C:$D,2,0)</f>
        <v>Gazillion</v>
      </c>
      <c r="E102" s="19" t="e">
        <f>VLOOKUP(C102,[2]PriceList!$C:$D,2,0)</f>
        <v>#N/A</v>
      </c>
      <c r="F102" s="19" t="e">
        <f>VLOOKUP(C102,[3]PriceList!$C:$D,2,0)</f>
        <v>#N/A</v>
      </c>
      <c r="G102" s="19" t="e">
        <f>VLOOKUP(C102,[4]PriceList!$C:$D,2,0)</f>
        <v>#N/A</v>
      </c>
      <c r="H102" s="19" t="e">
        <f>VLOOKUP(C102,[6]PriceList!$C:$D,2,0)</f>
        <v>#N/A</v>
      </c>
      <c r="I102" s="19" t="e">
        <f>VLOOKUP(C102,[7]PriceList!$C:$D,2,0)</f>
        <v>#N/A</v>
      </c>
      <c r="J102" s="19" t="e">
        <f>VLOOKUP(C102,[5]PriceList!$C:$D,2,0)</f>
        <v>#N/A</v>
      </c>
      <c r="K102" s="18" t="e">
        <f>VLOOKUP(C102,[8]PriceList!$C:$D,2,0)</f>
        <v>#N/A</v>
      </c>
    </row>
    <row r="103" spans="1:11" x14ac:dyDescent="0.3">
      <c r="A103" s="18">
        <v>102</v>
      </c>
      <c r="B103" s="18"/>
      <c r="C103" s="19" t="s">
        <v>74</v>
      </c>
      <c r="D103" s="19" t="str">
        <f>VLOOKUP(C103,[1]PriceList!$C:$D,2,0)</f>
        <v>Martini experience</v>
      </c>
      <c r="E103" s="19" t="e">
        <f>VLOOKUP(C103,[2]PriceList!$C:$D,2,0)</f>
        <v>#N/A</v>
      </c>
      <c r="F103" s="19" t="e">
        <f>VLOOKUP(C103,[3]PriceList!$C:$D,2,0)</f>
        <v>#N/A</v>
      </c>
      <c r="G103" s="19" t="e">
        <f>VLOOKUP(C103,[4]PriceList!$C:$D,2,0)</f>
        <v>#N/A</v>
      </c>
      <c r="H103" s="19" t="e">
        <f>VLOOKUP(C103,[6]PriceList!$C:$D,2,0)</f>
        <v>#N/A</v>
      </c>
      <c r="I103" s="19" t="str">
        <f>VLOOKUP(C103,[7]PriceList!$C:$D,2,0)</f>
        <v>Tag Xperience</v>
      </c>
      <c r="J103" s="19" t="e">
        <f>VLOOKUP(C103,[5]PriceList!$C:$D,2,0)</f>
        <v>#N/A</v>
      </c>
      <c r="K103" s="18" t="e">
        <f>VLOOKUP(C103,[8]PriceList!$C:$D,2,0)</f>
        <v>#N/A</v>
      </c>
    </row>
    <row r="104" spans="1:11" x14ac:dyDescent="0.3">
      <c r="A104" s="18">
        <v>103</v>
      </c>
      <c r="B104" s="18"/>
      <c r="C104" s="28" t="s">
        <v>215</v>
      </c>
      <c r="D104" s="19" t="str">
        <f>VLOOKUP(C104,[1]PriceList!$C:$D,2,0)</f>
        <v>Karigar</v>
      </c>
      <c r="E104" s="19" t="e">
        <f>VLOOKUP(C104,[2]PriceList!$C:$D,2,0)</f>
        <v>#N/A</v>
      </c>
      <c r="F104" s="19" t="e">
        <f>VLOOKUP(C104,[3]PriceList!$C:$D,2,0)</f>
        <v>#N/A</v>
      </c>
      <c r="G104" s="19" t="e">
        <f>VLOOKUP(C104,[4]PriceList!$C:$D,2,0)</f>
        <v>#N/A</v>
      </c>
      <c r="H104" s="19" t="e">
        <f>VLOOKUP(C104,[6]PriceList!$C:$D,2,0)</f>
        <v>#N/A</v>
      </c>
      <c r="I104" s="19" t="e">
        <f>VLOOKUP(C104,[7]PriceList!$C:$D,2,0)</f>
        <v>#N/A</v>
      </c>
      <c r="J104" s="19" t="e">
        <f>VLOOKUP(C104,[5]PriceList!$C:$D,2,0)</f>
        <v>#N/A</v>
      </c>
      <c r="K104" s="18" t="e">
        <f>VLOOKUP(C104,[8]PriceList!$C:$D,2,0)</f>
        <v>#N/A</v>
      </c>
    </row>
    <row r="105" spans="1:11" x14ac:dyDescent="0.3">
      <c r="A105" s="18">
        <v>104</v>
      </c>
      <c r="B105" s="18"/>
      <c r="C105" s="31" t="s">
        <v>305</v>
      </c>
      <c r="D105" s="19" t="e">
        <f>VLOOKUP(C105,[1]PriceList!$C:$D,2,0)</f>
        <v>#N/A</v>
      </c>
      <c r="E105" s="19" t="e">
        <f>VLOOKUP(C105,[2]PriceList!$C:$D,2,0)</f>
        <v>#N/A</v>
      </c>
      <c r="F105" s="19" t="e">
        <f>VLOOKUP(C105,[3]PriceList!$C:$D,2,0)</f>
        <v>#N/A</v>
      </c>
      <c r="G105" s="19" t="e">
        <f>VLOOKUP(C105,[4]PriceList!$C:$D,2,0)</f>
        <v>#N/A</v>
      </c>
      <c r="H105" s="19" t="e">
        <f>VLOOKUP(C105,[6]PriceList!$C:$D,2,0)</f>
        <v>#N/A</v>
      </c>
      <c r="I105" s="19" t="str">
        <f>VLOOKUP(C105,[7]PriceList!$C:$D,2,0)</f>
        <v>Phantom Gold Plus</v>
      </c>
      <c r="J105" s="19" t="e">
        <f>VLOOKUP(C105,[5]PriceList!$C:$D,2,0)</f>
        <v>#N/A</v>
      </c>
      <c r="K105" s="18" t="e">
        <f>VLOOKUP(C105,[8]PriceList!$C:$D,2,0)</f>
        <v>#N/A</v>
      </c>
    </row>
    <row r="106" spans="1:11" x14ac:dyDescent="0.3">
      <c r="A106" s="18">
        <v>105</v>
      </c>
      <c r="B106" s="18"/>
      <c r="C106" s="28" t="s">
        <v>208</v>
      </c>
      <c r="D106" s="19" t="str">
        <f>VLOOKUP(C106,[1]PriceList!$C:$D,2,0)</f>
        <v>Ichiflex</v>
      </c>
      <c r="E106" s="19" t="e">
        <f>VLOOKUP(C106,[2]PriceList!$C:$D,2,0)</f>
        <v>#N/A</v>
      </c>
      <c r="F106" s="19" t="e">
        <f>VLOOKUP(C106,[3]PriceList!$C:$D,2,0)</f>
        <v>#N/A</v>
      </c>
      <c r="G106" s="19" t="e">
        <f>VLOOKUP(C106,[4]PriceList!$C:$D,2,0)</f>
        <v>#N/A</v>
      </c>
      <c r="H106" s="19" t="str">
        <f>VLOOKUP(C106,[6]PriceList!$C:$D,2,0)</f>
        <v>Syren</v>
      </c>
      <c r="I106" s="19" t="str">
        <f>VLOOKUP(C106,[7]PriceList!$C:$D,2,0)</f>
        <v>Tag Flex</v>
      </c>
      <c r="J106" s="19" t="e">
        <f>VLOOKUP(C106,[5]PriceList!$C:$D,2,0)</f>
        <v>#N/A</v>
      </c>
      <c r="K106" s="18" t="e">
        <f>VLOOKUP(C106,[8]PriceList!$C:$D,2,0)</f>
        <v>#N/A</v>
      </c>
    </row>
    <row r="107" spans="1:11" x14ac:dyDescent="0.3">
      <c r="A107" s="18">
        <v>106</v>
      </c>
      <c r="B107" s="18"/>
      <c r="C107" s="28" t="s">
        <v>214</v>
      </c>
      <c r="D107" s="19" t="str">
        <f>VLOOKUP(C107,[1]PriceList!$C:$D,2,0)</f>
        <v>Arkka Super</v>
      </c>
      <c r="E107" s="19" t="e">
        <f>VLOOKUP(C107,[2]PriceList!$C:$D,2,0)</f>
        <v>#N/A</v>
      </c>
      <c r="F107" s="19" t="e">
        <f>VLOOKUP(C107,[3]PriceList!$C:$D,2,0)</f>
        <v>#N/A</v>
      </c>
      <c r="G107" s="19" t="e">
        <f>VLOOKUP(C107,[4]PriceList!$C:$D,2,0)</f>
        <v>#N/A</v>
      </c>
      <c r="H107" s="19" t="e">
        <f>VLOOKUP(C107,[6]PriceList!$C:$D,2,0)</f>
        <v>#N/A</v>
      </c>
      <c r="I107" s="19" t="e">
        <f>VLOOKUP(C107,[7]PriceList!$C:$D,2,0)</f>
        <v>#N/A</v>
      </c>
      <c r="J107" s="19" t="e">
        <f>VLOOKUP(C107,[5]PriceList!$C:$D,2,0)</f>
        <v>#N/A</v>
      </c>
      <c r="K107" s="18" t="e">
        <f>VLOOKUP(C107,[8]PriceList!$C:$D,2,0)</f>
        <v>#N/A</v>
      </c>
    </row>
    <row r="108" spans="1:11" x14ac:dyDescent="0.3">
      <c r="A108" s="18">
        <v>107</v>
      </c>
      <c r="B108" s="18"/>
      <c r="C108" s="19" t="s">
        <v>118</v>
      </c>
      <c r="D108" s="19" t="str">
        <f>VLOOKUP(C108,[1]PriceList!$C:$D,2,0)</f>
        <v>Somrus</v>
      </c>
      <c r="E108" s="19" t="str">
        <f>VLOOKUP(C108,[2]PriceList!$C:$D,2,0)</f>
        <v>San Gib</v>
      </c>
      <c r="F108" s="19" t="e">
        <f>VLOOKUP(C108,[3]PriceList!$C:$D,2,0)</f>
        <v>#N/A</v>
      </c>
      <c r="G108" s="19" t="str">
        <f>VLOOKUP(C108,[4]PriceList!$C:$D,2,0)</f>
        <v>Supreme</v>
      </c>
      <c r="H108" s="19" t="str">
        <f>VLOOKUP(C108,[6]PriceList!$C:$D,2,0)</f>
        <v>Algebra</v>
      </c>
      <c r="I108" s="19" t="str">
        <f>VLOOKUP(C108,[7]PriceList!$C:$D,2,0)</f>
        <v>Tagbumper Gold</v>
      </c>
      <c r="J108" s="19" t="str">
        <f>VLOOKUP(C108,[5]PriceList!$C:$D,2,0)</f>
        <v>Preran</v>
      </c>
      <c r="K108" s="18" t="e">
        <f>VLOOKUP(C108,[8]PriceList!$C:$D,2,0)</f>
        <v>#N/A</v>
      </c>
    </row>
    <row r="109" spans="1:11" x14ac:dyDescent="0.3">
      <c r="A109" s="18">
        <v>108</v>
      </c>
      <c r="B109" s="18"/>
      <c r="C109" s="19" t="s">
        <v>155</v>
      </c>
      <c r="D109" s="19" t="e">
        <f>VLOOKUP(C109,[1]PriceList!$C:$D,2,0)</f>
        <v>#N/A</v>
      </c>
      <c r="E109" s="19" t="e">
        <f>VLOOKUP(C109,[2]PriceList!$C:$D,2,0)</f>
        <v>#N/A</v>
      </c>
      <c r="F109" s="19" t="e">
        <f>VLOOKUP(C109,[3]PriceList!$C:$D,2,0)</f>
        <v>#N/A</v>
      </c>
      <c r="G109" s="19" t="e">
        <f>VLOOKUP(C109,[4]PriceList!$C:$D,2,0)</f>
        <v>#N/A</v>
      </c>
      <c r="H109" s="19" t="e">
        <f>VLOOKUP(C109,[6]PriceList!$C:$D,2,0)</f>
        <v>#N/A</v>
      </c>
      <c r="I109" s="19" t="str">
        <f>VLOOKUP(C109,[7]PriceList!$C:$D,2,0)</f>
        <v>Tag Gibb</v>
      </c>
      <c r="J109" s="19" t="e">
        <f>VLOOKUP(C109,[5]PriceList!$C:$D,2,0)</f>
        <v>#N/A</v>
      </c>
      <c r="K109" s="18" t="e">
        <f>VLOOKUP(C109,[8]PriceList!$C:$D,2,0)</f>
        <v>#N/A</v>
      </c>
    </row>
    <row r="110" spans="1:11" x14ac:dyDescent="0.3">
      <c r="A110" s="18">
        <v>109</v>
      </c>
      <c r="B110" s="18"/>
      <c r="C110" s="19" t="s">
        <v>117</v>
      </c>
      <c r="D110" s="19" t="str">
        <f>VLOOKUP(C110,[1]PriceList!$C:$D,2,0)</f>
        <v>Gold Dust</v>
      </c>
      <c r="E110" s="19" t="e">
        <f>VLOOKUP(C110,[2]PriceList!$C:$D,2,0)</f>
        <v>#N/A</v>
      </c>
      <c r="F110" s="19" t="e">
        <f>VLOOKUP(C110,[3]PriceList!$C:$D,2,0)</f>
        <v>#N/A</v>
      </c>
      <c r="G110" s="19" t="e">
        <f>VLOOKUP(C110,[4]PriceList!$C:$D,2,0)</f>
        <v>#N/A</v>
      </c>
      <c r="H110" s="19" t="e">
        <f>VLOOKUP(C110,[6]PriceList!$C:$D,2,0)</f>
        <v>#N/A</v>
      </c>
      <c r="I110" s="19" t="str">
        <f>VLOOKUP(C110,[7]PriceList!$C:$D,2,0)</f>
        <v>Tag Gibb Gold</v>
      </c>
      <c r="J110" s="19" t="e">
        <f>VLOOKUP(C110,[5]PriceList!$C:$D,2,0)</f>
        <v>#N/A</v>
      </c>
      <c r="K110" s="18" t="e">
        <f>VLOOKUP(C110,[8]PriceList!$C:$D,2,0)</f>
        <v>#N/A</v>
      </c>
    </row>
    <row r="111" spans="1:11" x14ac:dyDescent="0.3">
      <c r="A111" s="18">
        <v>110</v>
      </c>
      <c r="B111" s="18" t="s">
        <v>327</v>
      </c>
      <c r="C111" s="19" t="s">
        <v>83</v>
      </c>
      <c r="D111" s="19" t="str">
        <f>VLOOKUP(C111,[1]PriceList!$C:$D,2,0)</f>
        <v>Fiori</v>
      </c>
      <c r="E111" s="19" t="str">
        <f>VLOOKUP(C111,[2]PriceList!$C:$D,2,0)</f>
        <v>Serios</v>
      </c>
      <c r="F111" s="19" t="str">
        <f>VLOOKUP(C111,[3]PriceList!$C:$D,2,0)</f>
        <v>Expower</v>
      </c>
      <c r="G111" s="19" t="str">
        <f>VLOOKUP(C111,[4]PriceList!$C:$D,2,0)</f>
        <v>Glufonate</v>
      </c>
      <c r="H111" s="19" t="str">
        <f>VLOOKUP(C111,[6]PriceList!$C:$D,2,0)</f>
        <v>Brandish</v>
      </c>
      <c r="I111" s="19" t="str">
        <f>VLOOKUP(C111,[7]PriceList!$C:$D,2,0)</f>
        <v>Tag Rio</v>
      </c>
      <c r="J111" s="19" t="str">
        <f>VLOOKUP(C111,[5]PriceList!$C:$D,2,0)</f>
        <v>Glu Power</v>
      </c>
      <c r="K111" s="18" t="str">
        <f>VLOOKUP(C111,[8]PriceList!$C:$D,2,0)</f>
        <v>Granade</v>
      </c>
    </row>
    <row r="112" spans="1:11" x14ac:dyDescent="0.3">
      <c r="A112" s="18">
        <v>111</v>
      </c>
      <c r="B112" s="18" t="s">
        <v>192</v>
      </c>
      <c r="C112" s="19" t="s">
        <v>84</v>
      </c>
      <c r="D112" s="19" t="str">
        <f>VLOOKUP(C112,[1]PriceList!$C:$D,2,0)</f>
        <v>Godzilla</v>
      </c>
      <c r="E112" s="19" t="str">
        <f>VLOOKUP(C112,[2]PriceList!$C:$D,2,0)</f>
        <v>Sanglypho</v>
      </c>
      <c r="F112" s="19" t="e">
        <f>VLOOKUP(C112,[3]PriceList!$C:$D,2,0)</f>
        <v>#N/A</v>
      </c>
      <c r="G112" s="19" t="str">
        <f>VLOOKUP(C112,[4]PriceList!$C:$D,2,0)</f>
        <v>Aalsate</v>
      </c>
      <c r="H112" s="19" t="str">
        <f>VLOOKUP(C112,[6]PriceList!$C:$D,2,0)</f>
        <v>Root Out</v>
      </c>
      <c r="I112" s="19" t="e">
        <f>VLOOKUP(C112,[7]PriceList!$C:$D,2,0)</f>
        <v>#N/A</v>
      </c>
      <c r="J112" s="19" t="e">
        <f>VLOOKUP(C112,[5]PriceList!$C:$D,2,0)</f>
        <v>#N/A</v>
      </c>
      <c r="K112" s="18" t="str">
        <f>VLOOKUP(C112,[8]PriceList!$C:$D,2,0)</f>
        <v>Runout</v>
      </c>
    </row>
    <row r="113" spans="1:11" x14ac:dyDescent="0.3">
      <c r="A113" s="18">
        <v>112</v>
      </c>
      <c r="B113" s="18"/>
      <c r="C113" s="19" t="s">
        <v>85</v>
      </c>
      <c r="D113" s="19" t="str">
        <f>VLOOKUP(C113,[1]PriceList!$C:$D,2,0)</f>
        <v>Menaka 71</v>
      </c>
      <c r="E113" s="19" t="str">
        <f>VLOOKUP(C113,[2]PriceList!$C:$D,2,0)</f>
        <v>San Glypho Sg</v>
      </c>
      <c r="F113" s="19" t="e">
        <f>VLOOKUP(C113,[3]PriceList!$C:$D,2,0)</f>
        <v>#N/A</v>
      </c>
      <c r="G113" s="19" t="str">
        <f>VLOOKUP(C113,[4]PriceList!$C:$D,2,0)</f>
        <v>Hera</v>
      </c>
      <c r="H113" s="19" t="str">
        <f>VLOOKUP(C113,[6]PriceList!$C:$D,2,0)</f>
        <v>Aandhi-71</v>
      </c>
      <c r="I113" s="19" t="e">
        <f>VLOOKUP(C113,[7]PriceList!$C:$D,2,0)</f>
        <v>#N/A</v>
      </c>
      <c r="J113" s="19" t="e">
        <f>VLOOKUP(C113,[5]PriceList!$C:$D,2,0)</f>
        <v>#N/A</v>
      </c>
      <c r="K113" s="18" t="str">
        <f>VLOOKUP(C113,[8]PriceList!$C:$D,2,0)</f>
        <v>Runout 71</v>
      </c>
    </row>
    <row r="114" spans="1:11" x14ac:dyDescent="0.3">
      <c r="A114" s="18">
        <v>113</v>
      </c>
      <c r="B114" s="18"/>
      <c r="C114" s="19" t="s">
        <v>81</v>
      </c>
      <c r="D114" s="19" t="str">
        <f>VLOOKUP(C114,[1]PriceList!$C:$D,2,0)</f>
        <v>Kasba</v>
      </c>
      <c r="E114" s="19" t="e">
        <f>VLOOKUP(C114,[2]PriceList!$C:$D,2,0)</f>
        <v>#N/A</v>
      </c>
      <c r="F114" s="19" t="e">
        <f>VLOOKUP(C114,[3]PriceList!$C:$D,2,0)</f>
        <v>#N/A</v>
      </c>
      <c r="G114" s="19" t="e">
        <f>VLOOKUP(C114,[4]PriceList!$C:$D,2,0)</f>
        <v>#N/A</v>
      </c>
      <c r="H114" s="19" t="e">
        <f>VLOOKUP(C114,[6]PriceList!$C:$D,2,0)</f>
        <v>#N/A</v>
      </c>
      <c r="I114" s="19" t="e">
        <f>VLOOKUP(C114,[7]PriceList!$C:$D,2,0)</f>
        <v>#N/A</v>
      </c>
      <c r="J114" s="19" t="e">
        <f>VLOOKUP(C114,[5]PriceList!$C:$D,2,0)</f>
        <v>#N/A</v>
      </c>
      <c r="K114" s="18" t="e">
        <f>VLOOKUP(C114,[8]PriceList!$C:$D,2,0)</f>
        <v>#N/A</v>
      </c>
    </row>
    <row r="115" spans="1:11" x14ac:dyDescent="0.3">
      <c r="A115" s="18">
        <v>114</v>
      </c>
      <c r="B115" s="18"/>
      <c r="C115" s="19" t="s">
        <v>76</v>
      </c>
      <c r="D115" s="19" t="str">
        <f>VLOOKUP(C115,[1]PriceList!$C:$D,2,0)</f>
        <v>Kabila</v>
      </c>
      <c r="E115" s="19" t="e">
        <f>VLOOKUP(C115,[2]PriceList!$C:$D,2,0)</f>
        <v>#N/A</v>
      </c>
      <c r="F115" s="19" t="e">
        <f>VLOOKUP(C115,[3]PriceList!$C:$D,2,0)</f>
        <v>#N/A</v>
      </c>
      <c r="G115" s="19" t="str">
        <f>VLOOKUP(C115,[4]PriceList!$C:$D,2,0)</f>
        <v>Halostar</v>
      </c>
      <c r="H115" s="19" t="str">
        <f>VLOOKUP(C115,[6]PriceList!$C:$D,2,0)</f>
        <v>Elaan</v>
      </c>
      <c r="I115" s="19" t="str">
        <f>VLOOKUP(C115,[7]PriceList!$C:$D,2,0)</f>
        <v>Tag Smash</v>
      </c>
      <c r="J115" s="19" t="e">
        <f>VLOOKUP(C115,[5]PriceList!$C:$D,2,0)</f>
        <v>#N/A</v>
      </c>
      <c r="K115" s="18" t="e">
        <f>VLOOKUP(C115,[8]PriceList!$C:$D,2,0)</f>
        <v>#N/A</v>
      </c>
    </row>
    <row r="116" spans="1:11" x14ac:dyDescent="0.3">
      <c r="A116" s="18">
        <v>115</v>
      </c>
      <c r="B116" s="18"/>
      <c r="C116" s="19" t="s">
        <v>109</v>
      </c>
      <c r="D116" s="19" t="str">
        <f>VLOOKUP(C116,[1]PriceList!$C:$D,2,0)</f>
        <v>Shezada</v>
      </c>
      <c r="E116" s="19" t="e">
        <f>VLOOKUP(C116,[2]PriceList!$C:$D,2,0)</f>
        <v>#N/A</v>
      </c>
      <c r="F116" s="19" t="e">
        <f>VLOOKUP(C116,[3]PriceList!$C:$D,2,0)</f>
        <v>#N/A</v>
      </c>
      <c r="G116" s="19" t="e">
        <f>VLOOKUP(C116,[4]PriceList!$C:$D,2,0)</f>
        <v>#N/A</v>
      </c>
      <c r="H116" s="19" t="e">
        <f>VLOOKUP(C116,[6]PriceList!$C:$D,2,0)</f>
        <v>#N/A</v>
      </c>
      <c r="I116" s="19" t="e">
        <f>VLOOKUP(C116,[7]PriceList!$C:$D,2,0)</f>
        <v>#N/A</v>
      </c>
      <c r="J116" s="19" t="e">
        <f>VLOOKUP(C116,[5]PriceList!$C:$D,2,0)</f>
        <v>#N/A</v>
      </c>
      <c r="K116" s="18" t="e">
        <f>VLOOKUP(C116,[8]PriceList!$C:$D,2,0)</f>
        <v>#N/A</v>
      </c>
    </row>
    <row r="117" spans="1:11" x14ac:dyDescent="0.3">
      <c r="A117" s="18">
        <v>116</v>
      </c>
      <c r="B117" s="18"/>
      <c r="C117" s="31" t="s">
        <v>287</v>
      </c>
      <c r="D117" s="19" t="e">
        <f>VLOOKUP(C117,[1]PriceList!$C:$D,2,0)</f>
        <v>#N/A</v>
      </c>
      <c r="E117" s="19" t="e">
        <f>VLOOKUP(C117,[2]PriceList!$C:$D,2,0)</f>
        <v>#N/A</v>
      </c>
      <c r="F117" s="19" t="e">
        <f>VLOOKUP(C117,[3]PriceList!$C:$D,2,0)</f>
        <v>#N/A</v>
      </c>
      <c r="G117" s="19" t="str">
        <f>VLOOKUP(C117,[4]PriceList!$C:$D,2,0)</f>
        <v>Kantara</v>
      </c>
      <c r="H117" s="19" t="e">
        <f>VLOOKUP(C117,[6]PriceList!$C:$D,2,0)</f>
        <v>#N/A</v>
      </c>
      <c r="I117" s="19" t="str">
        <f>VLOOKUP(C117,[7]PriceList!$C:$D,2,0)</f>
        <v>Tag Fighter</v>
      </c>
      <c r="J117" s="19" t="e">
        <f>VLOOKUP(C117,[5]PriceList!$C:$D,2,0)</f>
        <v>#N/A</v>
      </c>
      <c r="K117" s="18" t="e">
        <f>VLOOKUP(C117,[8]PriceList!$C:$D,2,0)</f>
        <v>#N/A</v>
      </c>
    </row>
    <row r="118" spans="1:11" x14ac:dyDescent="0.3">
      <c r="A118" s="18">
        <v>117</v>
      </c>
      <c r="B118" s="18"/>
      <c r="C118" s="31" t="s">
        <v>291</v>
      </c>
      <c r="D118" s="19" t="e">
        <f>VLOOKUP(C118,[1]PriceList!$C:$D,2,0)</f>
        <v>#N/A</v>
      </c>
      <c r="E118" s="19" t="e">
        <f>VLOOKUP(C118,[2]PriceList!$C:$D,2,0)</f>
        <v>#N/A</v>
      </c>
      <c r="F118" s="19" t="e">
        <f>VLOOKUP(C118,[3]PriceList!$C:$D,2,0)</f>
        <v>#N/A</v>
      </c>
      <c r="G118" s="19" t="e">
        <f>VLOOKUP(C118,[4]PriceList!$C:$D,2,0)</f>
        <v>#N/A</v>
      </c>
      <c r="H118" s="19" t="e">
        <f>VLOOKUP(C118,[6]PriceList!$C:$D,2,0)</f>
        <v>#N/A</v>
      </c>
      <c r="I118" s="19" t="str">
        <f>VLOOKUP(C118,[7]PriceList!$C:$D,2,0)</f>
        <v>Tag Alexa</v>
      </c>
      <c r="J118" s="19" t="e">
        <f>VLOOKUP(C118,[5]PriceList!$C:$D,2,0)</f>
        <v>#N/A</v>
      </c>
      <c r="K118" s="18" t="e">
        <f>VLOOKUP(C118,[8]PriceList!$C:$D,2,0)</f>
        <v>#N/A</v>
      </c>
    </row>
    <row r="119" spans="1:11" x14ac:dyDescent="0.3">
      <c r="A119" s="18">
        <v>118</v>
      </c>
      <c r="B119" s="18"/>
      <c r="C119" s="19" t="s">
        <v>320</v>
      </c>
      <c r="D119" s="19" t="e">
        <f>VLOOKUP(C119,[1]PriceList!$C:$D,2,0)</f>
        <v>#N/A</v>
      </c>
      <c r="E119" s="19" t="str">
        <f>VLOOKUP(C119,[2]PriceList!$C:$D,2,0)</f>
        <v>San Hex E</v>
      </c>
      <c r="F119" s="19" t="str">
        <f>VLOOKUP(C119,[3]PriceList!$C:$D,2,0)</f>
        <v>Convax EC</v>
      </c>
      <c r="G119" s="19" t="str">
        <f>VLOOKUP(C119,[4]PriceList!$C:$D,2,0)</f>
        <v>Aaltaf</v>
      </c>
      <c r="H119" s="19" t="e">
        <f>VLOOKUP(C119,[6]PriceList!$C:$D,2,0)</f>
        <v>#N/A</v>
      </c>
      <c r="I119" s="19" t="e">
        <f>VLOOKUP(C119,[7]PriceList!$C:$D,2,0)</f>
        <v>#N/A</v>
      </c>
      <c r="J119" s="19" t="e">
        <f>VLOOKUP(C119,[5]PriceList!$C:$D,2,0)</f>
        <v>#N/A</v>
      </c>
      <c r="K119" s="18" t="e">
        <f>VLOOKUP(C119,[8]PriceList!$C:$D,2,0)</f>
        <v>#N/A</v>
      </c>
    </row>
    <row r="120" spans="1:11" x14ac:dyDescent="0.3">
      <c r="A120" s="18">
        <v>119</v>
      </c>
      <c r="B120" s="18"/>
      <c r="C120" s="19" t="s">
        <v>145</v>
      </c>
      <c r="D120" s="19" t="e">
        <f>VLOOKUP(C120,[1]PriceList!$C:$D,2,0)</f>
        <v>#N/A</v>
      </c>
      <c r="E120" s="19" t="str">
        <f>VLOOKUP(C120,[2]PriceList!$C:$D,2,0)</f>
        <v>San Hex 5%</v>
      </c>
      <c r="F120" s="19" t="str">
        <f>VLOOKUP(C120,[3]PriceList!$C:$D,2,0)</f>
        <v>Convax Plus</v>
      </c>
      <c r="G120" s="19" t="str">
        <f>VLOOKUP(C120,[4]PriceList!$C:$D,2,0)</f>
        <v>Aaltaf Plus</v>
      </c>
      <c r="H120" s="19" t="str">
        <f>VLOOKUP(C120,[6]PriceList!$C:$D,2,0)</f>
        <v>Udaan Plus</v>
      </c>
      <c r="I120" s="19" t="str">
        <f>VLOOKUP(C120,[7]PriceList!$C:$D,2,0)</f>
        <v xml:space="preserve">Hexacon Super </v>
      </c>
      <c r="J120" s="19" t="str">
        <f>VLOOKUP(C120,[5]PriceList!$C:$D,2,0)</f>
        <v>Texona Plus</v>
      </c>
      <c r="K120" s="18" t="str">
        <f>VLOOKUP(C120,[8]PriceList!$C:$D,2,0)</f>
        <v>Alert Plus</v>
      </c>
    </row>
    <row r="121" spans="1:11" x14ac:dyDescent="0.3">
      <c r="A121" s="18">
        <v>120</v>
      </c>
      <c r="B121" s="18"/>
      <c r="C121" s="31" t="s">
        <v>302</v>
      </c>
      <c r="D121" s="19" t="e">
        <f>VLOOKUP(C121,[1]PriceList!$C:$D,2,0)</f>
        <v>#N/A</v>
      </c>
      <c r="E121" s="19" t="e">
        <f>VLOOKUP(C121,[2]PriceList!$C:$D,2,0)</f>
        <v>#N/A</v>
      </c>
      <c r="F121" s="19" t="e">
        <f>VLOOKUP(C121,[3]PriceList!$C:$D,2,0)</f>
        <v>#N/A</v>
      </c>
      <c r="G121" s="19" t="e">
        <f>VLOOKUP(C121,[4]PriceList!$C:$D,2,0)</f>
        <v>#N/A</v>
      </c>
      <c r="H121" s="19" t="e">
        <f>VLOOKUP(C121,[6]PriceList!$C:$D,2,0)</f>
        <v>#N/A</v>
      </c>
      <c r="I121" s="19" t="str">
        <f>VLOOKUP(C121,[7]PriceList!$C:$D,2,0)</f>
        <v>Hexa Gold</v>
      </c>
      <c r="J121" s="19" t="e">
        <f>VLOOKUP(C121,[5]PriceList!$C:$D,2,0)</f>
        <v>#N/A</v>
      </c>
      <c r="K121" s="18" t="e">
        <f>VLOOKUP(C121,[8]PriceList!$C:$D,2,0)</f>
        <v>#N/A</v>
      </c>
    </row>
    <row r="122" spans="1:11" x14ac:dyDescent="0.3">
      <c r="A122" s="18">
        <v>121</v>
      </c>
      <c r="B122" s="18"/>
      <c r="C122" s="19" t="s">
        <v>38</v>
      </c>
      <c r="D122" s="19" t="str">
        <f>VLOOKUP(C122,[1]PriceList!$C:$D,2,0)</f>
        <v>Guarantee super</v>
      </c>
      <c r="E122" s="19" t="e">
        <f>VLOOKUP(C122,[2]PriceList!$C:$D,2,0)</f>
        <v>#N/A</v>
      </c>
      <c r="F122" s="19" t="e">
        <f>VLOOKUP(C122,[3]PriceList!$C:$D,2,0)</f>
        <v>#N/A</v>
      </c>
      <c r="G122" s="19" t="e">
        <f>VLOOKUP(C122,[4]PriceList!$C:$D,2,0)</f>
        <v>#N/A</v>
      </c>
      <c r="H122" s="19" t="e">
        <f>VLOOKUP(C122,[6]PriceList!$C:$D,2,0)</f>
        <v>#N/A</v>
      </c>
      <c r="I122" s="19" t="e">
        <f>VLOOKUP(C122,[7]PriceList!$C:$D,2,0)</f>
        <v>#N/A</v>
      </c>
      <c r="J122" s="19" t="e">
        <f>VLOOKUP(C122,[5]PriceList!$C:$D,2,0)</f>
        <v>#N/A</v>
      </c>
      <c r="K122" s="18" t="e">
        <f>VLOOKUP(C122,[8]PriceList!$C:$D,2,0)</f>
        <v>#N/A</v>
      </c>
    </row>
    <row r="123" spans="1:11" x14ac:dyDescent="0.3">
      <c r="A123" s="18">
        <v>122</v>
      </c>
      <c r="B123" s="18"/>
      <c r="C123" s="19" t="s">
        <v>42</v>
      </c>
      <c r="D123" s="19" t="str">
        <f>VLOOKUP(C123,[1]PriceList!$C:$D,2,0)</f>
        <v>Ichimite 2.0</v>
      </c>
      <c r="E123" s="19" t="e">
        <f>VLOOKUP(C123,[2]PriceList!$C:$D,2,0)</f>
        <v>#N/A</v>
      </c>
      <c r="F123" s="19" t="e">
        <f>VLOOKUP(C123,[3]PriceList!$C:$D,2,0)</f>
        <v>#N/A</v>
      </c>
      <c r="G123" s="19" t="e">
        <f>VLOOKUP(C123,[4]PriceList!$C:$D,2,0)</f>
        <v>#N/A</v>
      </c>
      <c r="H123" s="19" t="str">
        <f>VLOOKUP(C123,[6]PriceList!$C:$D,2,0)</f>
        <v>Nissorun</v>
      </c>
      <c r="I123" s="19" t="e">
        <f>VLOOKUP(C123,[7]PriceList!$C:$D,2,0)</f>
        <v>#N/A</v>
      </c>
      <c r="J123" s="19" t="e">
        <f>VLOOKUP(C123,[5]PriceList!$C:$D,2,0)</f>
        <v>#N/A</v>
      </c>
      <c r="K123" s="18" t="e">
        <f>VLOOKUP(C123,[8]PriceList!$C:$D,2,0)</f>
        <v>#N/A</v>
      </c>
    </row>
    <row r="124" spans="1:11" x14ac:dyDescent="0.3">
      <c r="A124" s="18">
        <v>123</v>
      </c>
      <c r="B124" s="18"/>
      <c r="C124" s="31" t="s">
        <v>276</v>
      </c>
      <c r="D124" s="19" t="e">
        <f>VLOOKUP(C124,[1]PriceList!$C:$D,2,0)</f>
        <v>#N/A</v>
      </c>
      <c r="E124" s="19" t="e">
        <f>VLOOKUP(C124,[2]PriceList!$C:$D,2,0)</f>
        <v>#N/A</v>
      </c>
      <c r="F124" s="19" t="e">
        <f>VLOOKUP(C124,[3]PriceList!$C:$D,2,0)</f>
        <v>#N/A</v>
      </c>
      <c r="G124" s="19" t="e">
        <f>VLOOKUP(C124,[4]PriceList!$C:$D,2,0)</f>
        <v>#N/A</v>
      </c>
      <c r="H124" s="19" t="e">
        <f>VLOOKUP(C124,[6]PriceList!$C:$D,2,0)</f>
        <v>#N/A</v>
      </c>
      <c r="I124" s="19" t="str">
        <f>VLOOKUP(C124,[7]PriceList!$C:$D,2,0)</f>
        <v>Humacid</v>
      </c>
      <c r="J124" s="19" t="e">
        <f>VLOOKUP(C124,[5]PriceList!$C:$D,2,0)</f>
        <v>#N/A</v>
      </c>
      <c r="K124" s="18" t="e">
        <f>VLOOKUP(C124,[8]PriceList!$C:$D,2,0)</f>
        <v>#N/A</v>
      </c>
    </row>
    <row r="125" spans="1:11" x14ac:dyDescent="0.3">
      <c r="A125" s="18">
        <v>124</v>
      </c>
      <c r="B125" s="18"/>
      <c r="C125" s="19" t="s">
        <v>102</v>
      </c>
      <c r="D125" s="19" t="str">
        <f>VLOOKUP(C125,[1]PriceList!$C:$D,2,0)</f>
        <v>Alligator</v>
      </c>
      <c r="E125" s="19" t="e">
        <f>VLOOKUP(C125,[2]PriceList!$C:$D,2,0)</f>
        <v>#N/A</v>
      </c>
      <c r="F125" s="19" t="e">
        <f>VLOOKUP(C125,[3]PriceList!$C:$D,2,0)</f>
        <v>#N/A</v>
      </c>
      <c r="G125" s="19" t="e">
        <f>VLOOKUP(C125,[4]PriceList!$C:$D,2,0)</f>
        <v>#N/A</v>
      </c>
      <c r="H125" s="19" t="e">
        <f>VLOOKUP(C125,[6]PriceList!$C:$D,2,0)</f>
        <v>#N/A</v>
      </c>
      <c r="I125" s="19" t="str">
        <f>VLOOKUP(C125,[7]PriceList!$C:$D,2,0)</f>
        <v>Tagpyr Plus</v>
      </c>
      <c r="J125" s="19" t="e">
        <f>VLOOKUP(C125,[5]PriceList!$C:$D,2,0)</f>
        <v>#N/A</v>
      </c>
      <c r="K125" s="18" t="e">
        <f>VLOOKUP(C125,[8]PriceList!$C:$D,2,0)</f>
        <v>#N/A</v>
      </c>
    </row>
    <row r="126" spans="1:11" x14ac:dyDescent="0.3">
      <c r="A126" s="18">
        <v>125</v>
      </c>
      <c r="B126" s="18"/>
      <c r="C126" s="19" t="s">
        <v>106</v>
      </c>
      <c r="D126" s="19" t="str">
        <f>VLOOKUP(C126,[1]PriceList!$C:$D,2,0)</f>
        <v>Emoji</v>
      </c>
      <c r="E126" s="19" t="str">
        <f>VLOOKUP(C126,[2]PriceList!$C:$D,2,0)</f>
        <v>San Ima</v>
      </c>
      <c r="F126" s="19" t="e">
        <f>VLOOKUP(C126,[3]PriceList!$C:$D,2,0)</f>
        <v>#N/A</v>
      </c>
      <c r="G126" s="19" t="str">
        <f>VLOOKUP(C126,[4]PriceList!$C:$D,2,0)</f>
        <v>Biddy</v>
      </c>
      <c r="H126" s="19" t="str">
        <f>VLOOKUP(C126,[6]PriceList!$C:$D,2,0)</f>
        <v>Shikhar</v>
      </c>
      <c r="I126" s="19" t="str">
        <f>VLOOKUP(C126,[7]PriceList!$C:$D,2,0)</f>
        <v>Tagpyr</v>
      </c>
      <c r="J126" s="19" t="str">
        <f>VLOOKUP(C126,[5]PriceList!$C:$D,2,0)</f>
        <v>Shokar</v>
      </c>
      <c r="K126" s="18" t="str">
        <f>VLOOKUP(C126,[8]PriceList!$C:$D,2,0)</f>
        <v>Style</v>
      </c>
    </row>
    <row r="127" spans="1:11" x14ac:dyDescent="0.3">
      <c r="A127" s="18">
        <v>126</v>
      </c>
      <c r="B127" s="18"/>
      <c r="C127" s="31" t="s">
        <v>275</v>
      </c>
      <c r="D127" s="19" t="e">
        <f>VLOOKUP(C127,[1]PriceList!$C:$D,2,0)</f>
        <v>#N/A</v>
      </c>
      <c r="E127" s="19" t="e">
        <f>VLOOKUP(C127,[2]PriceList!$C:$D,2,0)</f>
        <v>#N/A</v>
      </c>
      <c r="F127" s="19" t="e">
        <f>VLOOKUP(C127,[3]PriceList!$C:$D,2,0)</f>
        <v>#N/A</v>
      </c>
      <c r="G127" s="19" t="e">
        <f>VLOOKUP(C127,[4]PriceList!$C:$D,2,0)</f>
        <v>#N/A</v>
      </c>
      <c r="H127" s="19" t="e">
        <f>VLOOKUP(C127,[6]PriceList!$C:$D,2,0)</f>
        <v>#N/A</v>
      </c>
      <c r="I127" s="19" t="str">
        <f>VLOOKUP(C127,[7]PriceList!$C:$D,2,0)</f>
        <v>Magik Gold</v>
      </c>
      <c r="J127" s="19" t="e">
        <f>VLOOKUP(C127,[5]PriceList!$C:$D,2,0)</f>
        <v>#N/A</v>
      </c>
      <c r="K127" s="18" t="e">
        <f>VLOOKUP(C127,[8]PriceList!$C:$D,2,0)</f>
        <v>#N/A</v>
      </c>
    </row>
    <row r="128" spans="1:11" x14ac:dyDescent="0.3">
      <c r="A128" s="18">
        <v>127</v>
      </c>
      <c r="B128" s="18" t="s">
        <v>237</v>
      </c>
      <c r="C128" s="19" t="s">
        <v>129</v>
      </c>
      <c r="D128" s="19" t="e">
        <f>VLOOKUP(C128,[1]PriceList!$C:$D,2,0)</f>
        <v>#N/A</v>
      </c>
      <c r="E128" s="19" t="str">
        <f>VLOOKUP(C128,[2]PriceList!$C:$D,2,0)</f>
        <v>San Mida Plus</v>
      </c>
      <c r="F128" s="19" t="str">
        <f>VLOOKUP(C128,[3]PriceList!$C:$D,2,0)</f>
        <v>Imax</v>
      </c>
      <c r="G128" s="19" t="str">
        <f>VLOOKUP(C128,[4]PriceList!$C:$D,2,0)</f>
        <v>Aalfidor</v>
      </c>
      <c r="H128" s="19" t="str">
        <f>VLOOKUP(C128,[6]PriceList!$C:$D,2,0)</f>
        <v>Bildor</v>
      </c>
      <c r="I128" s="19" t="str">
        <f>VLOOKUP(C128,[7]PriceList!$C:$D,2,0)</f>
        <v>Magik</v>
      </c>
      <c r="J128" s="19" t="str">
        <f>VLOOKUP(C128,[5]PriceList!$C:$D,2,0)</f>
        <v>Nidas</v>
      </c>
      <c r="K128" s="18" t="e">
        <f>VLOOKUP(C128,[8]PriceList!$C:$D,2,0)</f>
        <v>#N/A</v>
      </c>
    </row>
    <row r="129" spans="1:11" x14ac:dyDescent="0.3">
      <c r="A129" s="18">
        <v>128</v>
      </c>
      <c r="B129" s="18" t="s">
        <v>238</v>
      </c>
      <c r="C129" s="19" t="s">
        <v>130</v>
      </c>
      <c r="D129" s="19" t="e">
        <f>VLOOKUP(C129,[1]PriceList!$C:$D,2,0)</f>
        <v>#N/A</v>
      </c>
      <c r="E129" s="19" t="str">
        <f>VLOOKUP(C129,[2]PriceList!$C:$D,2,0)</f>
        <v>San Mida Super</v>
      </c>
      <c r="F129" s="19" t="str">
        <f>VLOOKUP(C129,[3]PriceList!$C:$D,2,0)</f>
        <v>Imax Super</v>
      </c>
      <c r="G129" s="19" t="str">
        <f>VLOOKUP(C129,[4]PriceList!$C:$D,2,0)</f>
        <v>Super Aalfidor</v>
      </c>
      <c r="H129" s="19" t="e">
        <f>VLOOKUP(C129,[6]PriceList!$C:$D,2,0)</f>
        <v>#N/A</v>
      </c>
      <c r="I129" s="19" t="str">
        <f>VLOOKUP(C129,[7]PriceList!$C:$D,2,0)</f>
        <v>Magik Super</v>
      </c>
      <c r="J129" s="19" t="str">
        <f>VLOOKUP(C129,[5]PriceList!$C:$D,2,0)</f>
        <v>Super Nidas</v>
      </c>
      <c r="K129" s="18" t="e">
        <f>VLOOKUP(C129,[8]PriceList!$C:$D,2,0)</f>
        <v>#N/A</v>
      </c>
    </row>
    <row r="130" spans="1:11" x14ac:dyDescent="0.3">
      <c r="A130" s="18">
        <v>129</v>
      </c>
      <c r="B130" s="18"/>
      <c r="C130" s="19" t="s">
        <v>163</v>
      </c>
      <c r="D130" s="19" t="e">
        <f>VLOOKUP(C130,[1]PriceList!$C:$D,2,0)</f>
        <v>#N/A</v>
      </c>
      <c r="E130" s="19" t="e">
        <f>VLOOKUP(C130,[2]PriceList!$C:$D,2,0)</f>
        <v>#N/A</v>
      </c>
      <c r="F130" s="19" t="str">
        <f>VLOOKUP(C130,[3]PriceList!$C:$D,2,0)</f>
        <v xml:space="preserve">Axora
</v>
      </c>
      <c r="G130" s="19" t="str">
        <f>VLOOKUP(C130,[4]PriceList!$C:$D,2,0)</f>
        <v>Boss</v>
      </c>
      <c r="H130" s="19" t="str">
        <f>VLOOKUP(C130,[6]PriceList!$C:$D,2,0)</f>
        <v>Betal</v>
      </c>
      <c r="I130" s="19" t="str">
        <f>VLOOKUP(C130,[7]PriceList!$C:$D,2,0)</f>
        <v>Tagprid</v>
      </c>
      <c r="J130" s="19" t="str">
        <f>VLOOKUP(C130,[5]PriceList!$C:$D,2,0)</f>
        <v>Amaira Super</v>
      </c>
      <c r="K130" s="18" t="e">
        <f>VLOOKUP(C130,[8]PriceList!$C:$D,2,0)</f>
        <v>#N/A</v>
      </c>
    </row>
    <row r="131" spans="1:11" x14ac:dyDescent="0.3">
      <c r="A131" s="18">
        <v>130</v>
      </c>
      <c r="B131" s="18" t="s">
        <v>328</v>
      </c>
      <c r="C131" s="19" t="s">
        <v>141</v>
      </c>
      <c r="D131" s="19" t="e">
        <f>VLOOKUP(C131,[1]PriceList!$C:$D,2,0)</f>
        <v>#N/A</v>
      </c>
      <c r="E131" s="19" t="str">
        <f>VLOOKUP(C131,[2]PriceList!$C:$D,2,0)</f>
        <v>San Carb</v>
      </c>
      <c r="F131" s="19" t="str">
        <f>VLOOKUP(C131,[3]PriceList!$C:$D,2,0)</f>
        <v>Inox</v>
      </c>
      <c r="G131" s="19" t="str">
        <f>VLOOKUP(C131,[4]PriceList!$C:$D,2,0)</f>
        <v>Aalwant</v>
      </c>
      <c r="H131" s="19" t="e">
        <f>VLOOKUP(C131,[6]PriceList!$C:$D,2,0)</f>
        <v>#N/A</v>
      </c>
      <c r="I131" s="19" t="str">
        <f>VLOOKUP(C131,[7]PriceList!$C:$D,2,0)</f>
        <v>Tagpower</v>
      </c>
      <c r="J131" s="19" t="str">
        <f>VLOOKUP(C131,[5]PriceList!$C:$D,2,0)</f>
        <v>Garudasthra</v>
      </c>
      <c r="K131" s="18" t="e">
        <f>VLOOKUP(C131,[8]PriceList!$C:$D,2,0)</f>
        <v>#N/A</v>
      </c>
    </row>
    <row r="132" spans="1:11" x14ac:dyDescent="0.3">
      <c r="A132" s="18">
        <v>131</v>
      </c>
      <c r="B132" s="18"/>
      <c r="C132" s="19" t="s">
        <v>66</v>
      </c>
      <c r="D132" s="19" t="str">
        <f>VLOOKUP(C132,[1]PriceList!$C:$D,2,0)</f>
        <v>Martini</v>
      </c>
      <c r="E132" s="19" t="e">
        <f>VLOOKUP(C132,[2]PriceList!$C:$D,2,0)</f>
        <v>#N/A</v>
      </c>
      <c r="F132" s="19" t="e">
        <f>VLOOKUP(C132,[3]PriceList!$C:$D,2,0)</f>
        <v>#N/A</v>
      </c>
      <c r="G132" s="19" t="e">
        <f>VLOOKUP(C132,[4]PriceList!$C:$D,2,0)</f>
        <v>#N/A</v>
      </c>
      <c r="H132" s="19" t="e">
        <f>VLOOKUP(C132,[6]PriceList!$C:$D,2,0)</f>
        <v>#N/A</v>
      </c>
      <c r="I132" s="19" t="e">
        <f>VLOOKUP(C132,[7]PriceList!$C:$D,2,0)</f>
        <v>#N/A</v>
      </c>
      <c r="J132" s="19" t="e">
        <f>VLOOKUP(C132,[5]PriceList!$C:$D,2,0)</f>
        <v>#N/A</v>
      </c>
      <c r="K132" s="18" t="e">
        <f>VLOOKUP(C132,[8]PriceList!$C:$D,2,0)</f>
        <v>#N/A</v>
      </c>
    </row>
    <row r="133" spans="1:11" x14ac:dyDescent="0.3">
      <c r="A133" s="18">
        <v>132</v>
      </c>
      <c r="B133" s="18"/>
      <c r="C133" s="19" t="s">
        <v>229</v>
      </c>
      <c r="D133" s="19" t="e">
        <f>VLOOKUP(C133,[1]PriceList!$C:$D,2,0)</f>
        <v>#N/A</v>
      </c>
      <c r="E133" s="19" t="str">
        <f>VLOOKUP(C133,[2]PriceList!$C:$D,2,0)</f>
        <v>Saniso</v>
      </c>
      <c r="F133" s="19" t="e">
        <f>VLOOKUP(C133,[3]PriceList!$C:$D,2,0)</f>
        <v>#N/A</v>
      </c>
      <c r="G133" s="19" t="str">
        <f>VLOOKUP(C133,[4]PriceList!$C:$D,2,0)</f>
        <v>Iso-P</v>
      </c>
      <c r="H133" s="19" t="str">
        <f>VLOOKUP(C133,[6]PriceList!$C:$D,2,0)</f>
        <v>Lavazza</v>
      </c>
      <c r="I133" s="19" t="str">
        <f>VLOOKUP(C133,[7]PriceList!$C:$D,2,0)</f>
        <v>Tag Lane</v>
      </c>
      <c r="J133" s="19" t="e">
        <f>VLOOKUP(C133,[5]PriceList!$C:$D,2,0)</f>
        <v>#N/A</v>
      </c>
      <c r="K133" s="18" t="e">
        <f>VLOOKUP(C133,[8]PriceList!$C:$D,2,0)</f>
        <v>#N/A</v>
      </c>
    </row>
    <row r="134" spans="1:11" x14ac:dyDescent="0.3">
      <c r="A134" s="18">
        <v>133</v>
      </c>
      <c r="B134" s="18"/>
      <c r="C134" s="19" t="s">
        <v>52</v>
      </c>
      <c r="D134" s="19" t="str">
        <f>VLOOKUP(C134,[1]PriceList!$C:$D,2,0)</f>
        <v>Bruce lee power</v>
      </c>
      <c r="E134" s="19" t="e">
        <f>VLOOKUP(C134,[2]PriceList!$C:$D,2,0)</f>
        <v>#N/A</v>
      </c>
      <c r="F134" s="19" t="e">
        <f>VLOOKUP(C134,[3]PriceList!$C:$D,2,0)</f>
        <v>#N/A</v>
      </c>
      <c r="G134" s="19" t="e">
        <f>VLOOKUP(C134,[4]PriceList!$C:$D,2,0)</f>
        <v>#N/A</v>
      </c>
      <c r="H134" s="19" t="e">
        <f>VLOOKUP(C134,[6]PriceList!$C:$D,2,0)</f>
        <v>#N/A</v>
      </c>
      <c r="I134" s="19" t="e">
        <f>VLOOKUP(C134,[7]PriceList!$C:$D,2,0)</f>
        <v>#N/A</v>
      </c>
      <c r="J134" s="19" t="e">
        <f>VLOOKUP(C134,[5]PriceList!$C:$D,2,0)</f>
        <v>#N/A</v>
      </c>
      <c r="K134" s="18" t="e">
        <f>VLOOKUP(C134,[8]PriceList!$C:$D,2,0)</f>
        <v>#N/A</v>
      </c>
    </row>
    <row r="135" spans="1:11" x14ac:dyDescent="0.3">
      <c r="A135" s="18">
        <v>134</v>
      </c>
      <c r="B135" s="18"/>
      <c r="C135" s="19" t="s">
        <v>53</v>
      </c>
      <c r="D135" s="19" t="str">
        <f>VLOOKUP(C135,[1]PriceList!$C:$D,2,0)</f>
        <v>Bruce lee advance</v>
      </c>
      <c r="E135" s="19" t="e">
        <f>VLOOKUP(C135,[2]PriceList!$C:$D,2,0)</f>
        <v>#N/A</v>
      </c>
      <c r="F135" s="19" t="e">
        <f>VLOOKUP(C135,[3]PriceList!$C:$D,2,0)</f>
        <v>#N/A</v>
      </c>
      <c r="G135" s="19" t="e">
        <f>VLOOKUP(C135,[4]PriceList!$C:$D,2,0)</f>
        <v>#N/A</v>
      </c>
      <c r="H135" s="19" t="e">
        <f>VLOOKUP(C135,[6]PriceList!$C:$D,2,0)</f>
        <v>#N/A</v>
      </c>
      <c r="I135" s="19" t="e">
        <f>VLOOKUP(C135,[7]PriceList!$C:$D,2,0)</f>
        <v>#N/A</v>
      </c>
      <c r="J135" s="19" t="e">
        <f>VLOOKUP(C135,[5]PriceList!$C:$D,2,0)</f>
        <v>#N/A</v>
      </c>
      <c r="K135" s="18" t="e">
        <f>VLOOKUP(C135,[8]PriceList!$C:$D,2,0)</f>
        <v>#N/A</v>
      </c>
    </row>
    <row r="136" spans="1:11" x14ac:dyDescent="0.3">
      <c r="A136" s="18">
        <v>135</v>
      </c>
      <c r="B136" s="18"/>
      <c r="C136" s="19" t="s">
        <v>133</v>
      </c>
      <c r="D136" s="19" t="e">
        <f>VLOOKUP(C136,[1]PriceList!$C:$D,2,0)</f>
        <v>#N/A</v>
      </c>
      <c r="E136" s="19" t="str">
        <f>VLOOKUP(C136,[2]PriceList!$C:$D,2,0)</f>
        <v>San Lam</v>
      </c>
      <c r="F136" s="19" t="e">
        <f>VLOOKUP(C136,[3]PriceList!$C:$D,2,0)</f>
        <v>#N/A</v>
      </c>
      <c r="G136" s="19" t="str">
        <f>VLOOKUP(C136,[4]PriceList!$C:$D,2,0)</f>
        <v>Aalfu</v>
      </c>
      <c r="H136" s="19" t="e">
        <f>VLOOKUP(C136,[6]PriceList!$C:$D,2,0)</f>
        <v>#N/A</v>
      </c>
      <c r="I136" s="19" t="str">
        <f>VLOOKUP(C136,[7]PriceList!$C:$D,2,0)</f>
        <v>Demand</v>
      </c>
      <c r="J136" s="19" t="str">
        <f>VLOOKUP(C136,[5]PriceList!$C:$D,2,0)</f>
        <v>Combat</v>
      </c>
      <c r="K136" s="18" t="e">
        <f>VLOOKUP(C136,[8]PriceList!$C:$D,2,0)</f>
        <v>#N/A</v>
      </c>
    </row>
    <row r="137" spans="1:11" x14ac:dyDescent="0.3">
      <c r="A137" s="18">
        <v>136</v>
      </c>
      <c r="B137" s="18"/>
      <c r="C137" s="19" t="s">
        <v>48</v>
      </c>
      <c r="D137" s="19" t="str">
        <f>VLOOKUP(C137,[1]PriceList!$C:$D,2,0)</f>
        <v>Pokemon</v>
      </c>
      <c r="E137" s="19" t="str">
        <f>VLOOKUP(C137,[2]PriceList!$C:$D,2,0)</f>
        <v>San Lam + Cs</v>
      </c>
      <c r="F137" s="19" t="e">
        <f>VLOOKUP(C137,[3]PriceList!$C:$D,2,0)</f>
        <v>#N/A</v>
      </c>
      <c r="G137" s="19" t="str">
        <f>VLOOKUP(C137,[4]PriceList!$C:$D,2,0)</f>
        <v>Thrill</v>
      </c>
      <c r="H137" s="19" t="str">
        <f>VLOOKUP(C137,[6]PriceList!$C:$D,2,0)</f>
        <v>Labrador</v>
      </c>
      <c r="I137" s="19" t="str">
        <f>VLOOKUP(C137,[7]PriceList!$C:$D,2,0)</f>
        <v>Tag Command Super</v>
      </c>
      <c r="J137" s="19" t="e">
        <f>VLOOKUP(C137,[5]PriceList!$C:$D,2,0)</f>
        <v>#N/A</v>
      </c>
      <c r="K137" s="18" t="e">
        <f>VLOOKUP(C137,[8]PriceList!$C:$D,2,0)</f>
        <v>#N/A</v>
      </c>
    </row>
    <row r="138" spans="1:11" x14ac:dyDescent="0.3">
      <c r="A138" s="18">
        <v>137</v>
      </c>
      <c r="B138" s="18"/>
      <c r="C138" s="19" t="s">
        <v>132</v>
      </c>
      <c r="D138" s="19" t="e">
        <f>VLOOKUP(C138,[1]PriceList!$C:$D,2,0)</f>
        <v>#N/A</v>
      </c>
      <c r="E138" s="19" t="str">
        <f>VLOOKUP(C138,[2]PriceList!$C:$D,2,0)</f>
        <v>San Lam Plus</v>
      </c>
      <c r="F138" s="19" t="str">
        <f>VLOOKUP(C138,[3]PriceList!$C:$D,2,0)</f>
        <v xml:space="preserve">Lufax
</v>
      </c>
      <c r="G138" s="19" t="str">
        <f>VLOOKUP(C138,[4]PriceList!$C:$D,2,0)</f>
        <v>Aalout</v>
      </c>
      <c r="H138" s="19" t="str">
        <f>VLOOKUP(C138,[6]PriceList!$C:$D,2,0)</f>
        <v>He-Man Super</v>
      </c>
      <c r="I138" s="19" t="str">
        <f>VLOOKUP(C138,[7]PriceList!$C:$D,2,0)</f>
        <v>Tag Command</v>
      </c>
      <c r="J138" s="19" t="str">
        <f>VLOOKUP(C138,[5]PriceList!$C:$D,2,0)</f>
        <v>Barbarika</v>
      </c>
      <c r="K138" s="18" t="str">
        <f>VLOOKUP(C138,[8]PriceList!$C:$D,2,0)</f>
        <v>Santri</v>
      </c>
    </row>
    <row r="139" spans="1:11" x14ac:dyDescent="0.3">
      <c r="A139" s="18">
        <v>138</v>
      </c>
      <c r="B139" s="18"/>
      <c r="C139" s="19" t="s">
        <v>11</v>
      </c>
      <c r="D139" s="19" t="str">
        <f>VLOOKUP(C139,[1]PriceList!$C:$D,2,0)</f>
        <v>Gentleman</v>
      </c>
      <c r="E139" s="19" t="e">
        <f>VLOOKUP(C139,[2]PriceList!$C:$D,2,0)</f>
        <v>#N/A</v>
      </c>
      <c r="F139" s="19" t="e">
        <f>VLOOKUP(C139,[3]PriceList!$C:$D,2,0)</f>
        <v>#N/A</v>
      </c>
      <c r="G139" s="19" t="str">
        <f>VLOOKUP(C139,[4]PriceList!$C:$D,2,0)</f>
        <v>Magnet</v>
      </c>
      <c r="H139" s="19" t="e">
        <f>VLOOKUP(C139,[6]PriceList!$C:$D,2,0)</f>
        <v>#N/A</v>
      </c>
      <c r="I139" s="19" t="str">
        <f>VLOOKUP(C139,[7]PriceList!$C:$D,2,0)</f>
        <v>Tag Leder</v>
      </c>
      <c r="J139" s="19" t="e">
        <f>VLOOKUP(C139,[5]PriceList!$C:$D,2,0)</f>
        <v>#N/A</v>
      </c>
      <c r="K139" s="18" t="e">
        <f>VLOOKUP(C139,[8]PriceList!$C:$D,2,0)</f>
        <v>#N/A</v>
      </c>
    </row>
    <row r="140" spans="1:11" x14ac:dyDescent="0.3">
      <c r="A140" s="18">
        <v>139</v>
      </c>
      <c r="B140" s="18"/>
      <c r="C140" s="31" t="s">
        <v>283</v>
      </c>
      <c r="D140" s="19" t="e">
        <f>VLOOKUP(C140,[1]PriceList!$C:$D,2,0)</f>
        <v>#N/A</v>
      </c>
      <c r="E140" s="19" t="e">
        <f>VLOOKUP(C140,[2]PriceList!$C:$D,2,0)</f>
        <v>#N/A</v>
      </c>
      <c r="F140" s="19" t="e">
        <f>VLOOKUP(C140,[3]PriceList!$C:$D,2,0)</f>
        <v>#N/A</v>
      </c>
      <c r="G140" s="19" t="e">
        <f>VLOOKUP(C140,[4]PriceList!$C:$D,2,0)</f>
        <v>#N/A</v>
      </c>
      <c r="H140" s="19" t="e">
        <f>VLOOKUP(C140,[6]PriceList!$C:$D,2,0)</f>
        <v>#N/A</v>
      </c>
      <c r="I140" s="19" t="str">
        <f>VLOOKUP(C140,[7]PriceList!$C:$D,2,0)</f>
        <v>Tag Bud-Set</v>
      </c>
      <c r="J140" s="19" t="e">
        <f>VLOOKUP(C140,[5]PriceList!$C:$D,2,0)</f>
        <v>#N/A</v>
      </c>
      <c r="K140" s="18" t="e">
        <f>VLOOKUP(C140,[8]PriceList!$C:$D,2,0)</f>
        <v>#N/A</v>
      </c>
    </row>
    <row r="141" spans="1:11" x14ac:dyDescent="0.3">
      <c r="A141" s="18">
        <v>140</v>
      </c>
      <c r="B141" s="18"/>
      <c r="C141" s="19" t="s">
        <v>140</v>
      </c>
      <c r="D141" s="19" t="e">
        <f>VLOOKUP(C141,[1]PriceList!$C:$D,2,0)</f>
        <v>#N/A</v>
      </c>
      <c r="E141" s="19" t="str">
        <f>VLOOKUP(C141,[2]PriceList!$C:$D,2,0)</f>
        <v>Malasan</v>
      </c>
      <c r="F141" s="19" t="e">
        <f>VLOOKUP(C141,[3]PriceList!$C:$D,2,0)</f>
        <v>#N/A</v>
      </c>
      <c r="G141" s="19" t="e">
        <f>VLOOKUP(C141,[4]PriceList!$C:$D,2,0)</f>
        <v>#N/A</v>
      </c>
      <c r="H141" s="19" t="e">
        <f>VLOOKUP(C141,[6]PriceList!$C:$D,2,0)</f>
        <v>#N/A</v>
      </c>
      <c r="I141" s="19" t="str">
        <f>VLOOKUP(C141,[7]PriceList!$C:$D,2,0)</f>
        <v>Tagthion</v>
      </c>
      <c r="J141" s="19" t="e">
        <f>VLOOKUP(C141,[5]PriceList!$C:$D,2,0)</f>
        <v>#N/A</v>
      </c>
      <c r="K141" s="18" t="e">
        <f>VLOOKUP(C141,[8]PriceList!$C:$D,2,0)</f>
        <v>#N/A</v>
      </c>
    </row>
    <row r="142" spans="1:11" x14ac:dyDescent="0.3">
      <c r="A142" s="18">
        <v>141</v>
      </c>
      <c r="B142" s="18"/>
      <c r="C142" s="19" t="s">
        <v>144</v>
      </c>
      <c r="D142" s="19" t="e">
        <f>VLOOKUP(C142,[1]PriceList!$C:$D,2,0)</f>
        <v>#N/A</v>
      </c>
      <c r="E142" s="19" t="str">
        <f>VLOOKUP(C142,[2]PriceList!$C:$D,2,0)</f>
        <v>San Maxyl</v>
      </c>
      <c r="F142" s="19" t="e">
        <f>VLOOKUP(C142,[3]PriceList!$C:$D,2,0)</f>
        <v>#N/A</v>
      </c>
      <c r="G142" s="19" t="e">
        <f>VLOOKUP(C142,[4]PriceList!$C:$D,2,0)</f>
        <v>#N/A</v>
      </c>
      <c r="H142" s="19" t="e">
        <f>VLOOKUP(C142,[6]PriceList!$C:$D,2,0)</f>
        <v>#N/A</v>
      </c>
      <c r="I142" s="19" t="e">
        <f>VLOOKUP(C142,[7]PriceList!$C:$D,2,0)</f>
        <v>#N/A</v>
      </c>
      <c r="J142" s="19" t="e">
        <f>VLOOKUP(C142,[5]PriceList!$C:$D,2,0)</f>
        <v>#N/A</v>
      </c>
      <c r="K142" s="18" t="e">
        <f>VLOOKUP(C142,[8]PriceList!$C:$D,2,0)</f>
        <v>#N/A</v>
      </c>
    </row>
    <row r="143" spans="1:11" x14ac:dyDescent="0.3">
      <c r="A143" s="18">
        <v>142</v>
      </c>
      <c r="B143" s="18" t="s">
        <v>231</v>
      </c>
      <c r="C143" s="19" t="s">
        <v>73</v>
      </c>
      <c r="D143" s="19" t="str">
        <f>VLOOKUP(C143,[1]PriceList!$C:$D,2,0)</f>
        <v>Zapan m 45</v>
      </c>
      <c r="E143" s="19" t="str">
        <f>VLOOKUP(C143,[2]PriceList!$C:$D,2,0)</f>
        <v>San Manco +</v>
      </c>
      <c r="F143" s="19" t="e">
        <f>VLOOKUP(C143,[3]PriceList!$C:$D,2,0)</f>
        <v>#N/A</v>
      </c>
      <c r="G143" s="19" t="str">
        <f>VLOOKUP(C143,[4]PriceList!$C:$D,2,0)</f>
        <v>Agastya M-45</v>
      </c>
      <c r="H143" s="19" t="str">
        <f>VLOOKUP(C143,[6]PriceList!$C:$D,2,0)</f>
        <v>Mount 45</v>
      </c>
      <c r="I143" s="19" t="str">
        <f>VLOOKUP(C143,[7]PriceList!$C:$D,2,0)</f>
        <v>Zinthane</v>
      </c>
      <c r="J143" s="19" t="str">
        <f>VLOOKUP(C143,[5]PriceList!$C:$D,2,0)</f>
        <v>Mzeb 45</v>
      </c>
      <c r="K143" s="18" t="e">
        <f>VLOOKUP(C143,[8]PriceList!$C:$D,2,0)</f>
        <v>#N/A</v>
      </c>
    </row>
    <row r="144" spans="1:11" x14ac:dyDescent="0.3">
      <c r="A144" s="18">
        <v>143</v>
      </c>
      <c r="B144" s="18"/>
      <c r="C144" s="19" t="s">
        <v>64</v>
      </c>
      <c r="D144" s="19" t="str">
        <f>VLOOKUP(C144,[1]PriceList!$C:$D,2,0)</f>
        <v>Battlefield</v>
      </c>
      <c r="E144" s="19" t="e">
        <f>VLOOKUP(C144,[2]PriceList!$C:$D,2,0)</f>
        <v>#N/A</v>
      </c>
      <c r="F144" s="19" t="e">
        <f>VLOOKUP(C144,[3]PriceList!$C:$D,2,0)</f>
        <v>#N/A</v>
      </c>
      <c r="G144" s="19" t="e">
        <f>VLOOKUP(C144,[4]PriceList!$C:$D,2,0)</f>
        <v>#N/A</v>
      </c>
      <c r="H144" s="19" t="e">
        <f>VLOOKUP(C144,[6]PriceList!$C:$D,2,0)</f>
        <v>#N/A</v>
      </c>
      <c r="I144" s="19" t="e">
        <f>VLOOKUP(C144,[7]PriceList!$C:$D,2,0)</f>
        <v>#N/A</v>
      </c>
      <c r="J144" s="19" t="e">
        <f>VLOOKUP(C144,[5]PriceList!$C:$D,2,0)</f>
        <v>#N/A</v>
      </c>
      <c r="K144" s="18" t="e">
        <f>VLOOKUP(C144,[8]PriceList!$C:$D,2,0)</f>
        <v>#N/A</v>
      </c>
    </row>
    <row r="145" spans="1:11" x14ac:dyDescent="0.3">
      <c r="A145" s="18">
        <v>144</v>
      </c>
      <c r="B145" s="18"/>
      <c r="C145" s="19" t="s">
        <v>78</v>
      </c>
      <c r="D145" s="19" t="str">
        <f>VLOOKUP(C145,[1]PriceList!$C:$D,2,0)</f>
        <v>Rundown</v>
      </c>
      <c r="E145" s="19" t="e">
        <f>VLOOKUP(C145,[2]PriceList!$C:$D,2,0)</f>
        <v>#N/A</v>
      </c>
      <c r="F145" s="19" t="e">
        <f>VLOOKUP(C145,[3]PriceList!$C:$D,2,0)</f>
        <v>#N/A</v>
      </c>
      <c r="G145" s="19" t="str">
        <f>VLOOKUP(C145,[4]PriceList!$C:$D,2,0)</f>
        <v>Maize Star</v>
      </c>
      <c r="H145" s="19" t="str">
        <f>VLOOKUP(C145,[6]PriceList!$C:$D,2,0)</f>
        <v>Kiyoshi</v>
      </c>
      <c r="I145" s="19" t="str">
        <f>VLOOKUP(C145,[7]PriceList!$C:$D,2,0)</f>
        <v>Tag Clean Xtra</v>
      </c>
      <c r="J145" s="19" t="e">
        <f>VLOOKUP(C145,[5]PriceList!$C:$D,2,0)</f>
        <v>#N/A</v>
      </c>
      <c r="K145" s="18" t="e">
        <f>VLOOKUP(C145,[8]PriceList!$C:$D,2,0)</f>
        <v>#N/A</v>
      </c>
    </row>
    <row r="146" spans="1:11" x14ac:dyDescent="0.3">
      <c r="A146" s="18">
        <v>145</v>
      </c>
      <c r="B146" s="18"/>
      <c r="C146" s="19" t="s">
        <v>96</v>
      </c>
      <c r="D146" s="19" t="str">
        <f>VLOOKUP(C146,[1]PriceList!$C:$D,2,0)</f>
        <v>Jitsu</v>
      </c>
      <c r="E146" s="19" t="e">
        <f>VLOOKUP(C146,[2]PriceList!$C:$D,2,0)</f>
        <v>#N/A</v>
      </c>
      <c r="F146" s="19" t="e">
        <f>VLOOKUP(C146,[3]PriceList!$C:$D,2,0)</f>
        <v>#N/A</v>
      </c>
      <c r="G146" s="19" t="e">
        <f>VLOOKUP(C146,[4]PriceList!$C:$D,2,0)</f>
        <v>#N/A</v>
      </c>
      <c r="H146" s="19" t="e">
        <f>VLOOKUP(C146,[6]PriceList!$C:$D,2,0)</f>
        <v>#N/A</v>
      </c>
      <c r="I146" s="19" t="e">
        <f>VLOOKUP(C146,[7]PriceList!$C:$D,2,0)</f>
        <v>#N/A</v>
      </c>
      <c r="J146" s="19" t="e">
        <f>VLOOKUP(C146,[5]PriceList!$C:$D,2,0)</f>
        <v>#N/A</v>
      </c>
      <c r="K146" s="18" t="e">
        <f>VLOOKUP(C146,[8]PriceList!$C:$D,2,0)</f>
        <v>#N/A</v>
      </c>
    </row>
    <row r="147" spans="1:11" x14ac:dyDescent="0.3">
      <c r="A147" s="18">
        <v>146</v>
      </c>
      <c r="B147" s="18"/>
      <c r="C147" s="19" t="s">
        <v>150</v>
      </c>
      <c r="D147" s="19" t="e">
        <f>VLOOKUP(C147,[1]PriceList!$C:$D,2,0)</f>
        <v>#N/A</v>
      </c>
      <c r="E147" s="19" t="str">
        <f>VLOOKUP(C147,[2]PriceList!$C:$D,2,0)</f>
        <v>Sanxyl</v>
      </c>
      <c r="F147" s="19" t="e">
        <f>VLOOKUP(C147,[3]PriceList!$C:$D,2,0)</f>
        <v>#N/A</v>
      </c>
      <c r="G147" s="19" t="str">
        <f>VLOOKUP(C147,[4]PriceList!$C:$D,2,0)</f>
        <v>Aaltaxyl</v>
      </c>
      <c r="H147" s="19" t="str">
        <f>VLOOKUP(C147,[6]PriceList!$C:$D,2,0)</f>
        <v>Top-35</v>
      </c>
      <c r="I147" s="19" t="str">
        <f>VLOOKUP(C147,[7]PriceList!$C:$D,2,0)</f>
        <v>Tagron 35 WS</v>
      </c>
      <c r="J147" s="19" t="e">
        <f>VLOOKUP(C147,[5]PriceList!$C:$D,2,0)</f>
        <v>#N/A</v>
      </c>
      <c r="K147" s="18" t="e">
        <f>VLOOKUP(C147,[8]PriceList!$C:$D,2,0)</f>
        <v>#N/A</v>
      </c>
    </row>
    <row r="148" spans="1:11" x14ac:dyDescent="0.3">
      <c r="A148" s="18">
        <v>147</v>
      </c>
      <c r="B148" s="18"/>
      <c r="C148" s="19" t="s">
        <v>65</v>
      </c>
      <c r="D148" s="19" t="str">
        <f>VLOOKUP(C148,[1]PriceList!$C:$D,2,0)</f>
        <v>Ichilax gold</v>
      </c>
      <c r="E148" s="19" t="e">
        <f>VLOOKUP(C148,[2]PriceList!$C:$D,2,0)</f>
        <v>#N/A</v>
      </c>
      <c r="F148" s="19" t="e">
        <f>VLOOKUP(C148,[3]PriceList!$C:$D,2,0)</f>
        <v>#N/A</v>
      </c>
      <c r="G148" s="19" t="str">
        <f>VLOOKUP(C148,[4]PriceList!$C:$D,2,0)</f>
        <v>Mancomet</v>
      </c>
      <c r="H148" s="19" t="e">
        <f>VLOOKUP(C148,[6]PriceList!$C:$D,2,0)</f>
        <v>#N/A</v>
      </c>
      <c r="I148" s="19" t="str">
        <f>VLOOKUP(C148,[7]PriceList!$C:$D,2,0)</f>
        <v>Tagmil</v>
      </c>
      <c r="J148" s="19" t="e">
        <f>VLOOKUP(C148,[5]PriceList!$C:$D,2,0)</f>
        <v>#N/A</v>
      </c>
      <c r="K148" s="18" t="e">
        <f>VLOOKUP(C148,[8]PriceList!$C:$D,2,0)</f>
        <v>#N/A</v>
      </c>
    </row>
    <row r="149" spans="1:11" x14ac:dyDescent="0.3">
      <c r="A149" s="18">
        <v>148</v>
      </c>
      <c r="B149" s="18"/>
      <c r="C149" s="19" t="s">
        <v>89</v>
      </c>
      <c r="D149" s="19" t="str">
        <f>VLOOKUP(C149,[1]PriceList!$C:$D,2,0)</f>
        <v>Ichikill</v>
      </c>
      <c r="E149" s="19" t="e">
        <f>VLOOKUP(C149,[2]PriceList!$C:$D,2,0)</f>
        <v>#N/A</v>
      </c>
      <c r="F149" s="19" t="e">
        <f>VLOOKUP(C149,[3]PriceList!$C:$D,2,0)</f>
        <v>#N/A</v>
      </c>
      <c r="G149" s="19" t="e">
        <f>VLOOKUP(C149,[4]PriceList!$C:$D,2,0)</f>
        <v>#N/A</v>
      </c>
      <c r="H149" s="19" t="e">
        <f>VLOOKUP(C149,[6]PriceList!$C:$D,2,0)</f>
        <v>#N/A</v>
      </c>
      <c r="I149" s="19" t="e">
        <f>VLOOKUP(C149,[7]PriceList!$C:$D,2,0)</f>
        <v>#N/A</v>
      </c>
      <c r="J149" s="19" t="e">
        <f>VLOOKUP(C149,[5]PriceList!$C:$D,2,0)</f>
        <v>#N/A</v>
      </c>
      <c r="K149" s="18" t="e">
        <f>VLOOKUP(C149,[8]PriceList!$C:$D,2,0)</f>
        <v>#N/A</v>
      </c>
    </row>
    <row r="150" spans="1:11" x14ac:dyDescent="0.3">
      <c r="A150" s="18">
        <v>149</v>
      </c>
      <c r="B150" s="18"/>
      <c r="C150" s="19" t="s">
        <v>250</v>
      </c>
      <c r="D150" s="19" t="e">
        <f>VLOOKUP(C150,[1]PriceList!$C:$D,2,0)</f>
        <v>#N/A</v>
      </c>
      <c r="E150" s="19" t="e">
        <f>VLOOKUP(C150,[2]PriceList!$C:$D,2,0)</f>
        <v>#N/A</v>
      </c>
      <c r="F150" s="19" t="e">
        <f>VLOOKUP(C150,[3]PriceList!$C:$D,2,0)</f>
        <v>#N/A</v>
      </c>
      <c r="G150" s="19" t="e">
        <f>VLOOKUP(C150,[4]PriceList!$C:$D,2,0)</f>
        <v>#N/A</v>
      </c>
      <c r="H150" s="19" t="e">
        <f>VLOOKUP(C150,[6]PriceList!$C:$D,2,0)</f>
        <v>#N/A</v>
      </c>
      <c r="I150" s="19" t="e">
        <f>VLOOKUP(C150,[7]PriceList!$C:$D,2,0)</f>
        <v>#N/A</v>
      </c>
      <c r="J150" s="19" t="e">
        <f>VLOOKUP(C150,[5]PriceList!$C:$D,2,0)</f>
        <v>#N/A</v>
      </c>
      <c r="K150" s="18" t="str">
        <f>VLOOKUP(C150,[8]PriceList!$C:$D,2,0)</f>
        <v>Liger</v>
      </c>
    </row>
    <row r="151" spans="1:11" x14ac:dyDescent="0.3">
      <c r="A151" s="18">
        <v>150</v>
      </c>
      <c r="B151" s="18"/>
      <c r="C151" s="19" t="s">
        <v>20</v>
      </c>
      <c r="D151" s="19" t="str">
        <f>VLOOKUP(C151,[1]PriceList!$C:$D,2,0)</f>
        <v>Debonair</v>
      </c>
      <c r="E151" s="19" t="e">
        <f>VLOOKUP(C151,[2]PriceList!$C:$D,2,0)</f>
        <v>#N/A</v>
      </c>
      <c r="F151" s="19" t="e">
        <f>VLOOKUP(C151,[3]PriceList!$C:$D,2,0)</f>
        <v>#N/A</v>
      </c>
      <c r="G151" s="19" t="e">
        <f>VLOOKUP(C151,[4]PriceList!$C:$D,2,0)</f>
        <v>#N/A</v>
      </c>
      <c r="H151" s="19" t="e">
        <f>VLOOKUP(C151,[6]PriceList!$C:$D,2,0)</f>
        <v>#N/A</v>
      </c>
      <c r="I151" s="19" t="e">
        <f>VLOOKUP(C151,[7]PriceList!$C:$D,2,0)</f>
        <v>#N/A</v>
      </c>
      <c r="J151" s="19" t="e">
        <f>VLOOKUP(C151,[5]PriceList!$C:$D,2,0)</f>
        <v>#N/A</v>
      </c>
      <c r="K151" s="18" t="e">
        <f>VLOOKUP(C151,[8]PriceList!$C:$D,2,0)</f>
        <v>#N/A</v>
      </c>
    </row>
    <row r="152" spans="1:11" x14ac:dyDescent="0.3">
      <c r="A152" s="18">
        <v>151</v>
      </c>
      <c r="B152" s="18"/>
      <c r="C152" s="19" t="s">
        <v>54</v>
      </c>
      <c r="D152" s="19" t="str">
        <f>VLOOKUP(C152,[1]PriceList!$C:$D,2,0)</f>
        <v>Chowkidar top</v>
      </c>
      <c r="E152" s="19" t="e">
        <f>VLOOKUP(C152,[2]PriceList!$C:$D,2,0)</f>
        <v>#N/A</v>
      </c>
      <c r="F152" s="19" t="e">
        <f>VLOOKUP(C152,[3]PriceList!$C:$D,2,0)</f>
        <v>#N/A</v>
      </c>
      <c r="G152" s="19" t="e">
        <f>VLOOKUP(C152,[4]PriceList!$C:$D,2,0)</f>
        <v>#N/A</v>
      </c>
      <c r="H152" s="19" t="e">
        <f>VLOOKUP(C152,[6]PriceList!$C:$D,2,0)</f>
        <v>#N/A</v>
      </c>
      <c r="I152" s="19" t="str">
        <f>VLOOKUP(C152,[7]PriceList!$C:$D,2,0)</f>
        <v>Mantram</v>
      </c>
      <c r="J152" s="19" t="e">
        <f>VLOOKUP(C152,[5]PriceList!$C:$D,2,0)</f>
        <v>#N/A</v>
      </c>
      <c r="K152" s="18" t="e">
        <f>VLOOKUP(C152,[8]PriceList!$C:$D,2,0)</f>
        <v>#N/A</v>
      </c>
    </row>
    <row r="153" spans="1:11" x14ac:dyDescent="0.3">
      <c r="A153" s="18">
        <v>152</v>
      </c>
      <c r="B153" s="18"/>
      <c r="C153" s="19" t="s">
        <v>70</v>
      </c>
      <c r="D153" s="19" t="str">
        <f>VLOOKUP(C153,[1]PriceList!$C:$D,2,0)</f>
        <v>Pakshi</v>
      </c>
      <c r="E153" s="19" t="e">
        <f>VLOOKUP(C153,[2]PriceList!$C:$D,2,0)</f>
        <v>#N/A</v>
      </c>
      <c r="F153" s="19" t="e">
        <f>VLOOKUP(C153,[3]PriceList!$C:$D,2,0)</f>
        <v>#N/A</v>
      </c>
      <c r="G153" s="19" t="e">
        <f>VLOOKUP(C153,[4]PriceList!$C:$D,2,0)</f>
        <v>#N/A</v>
      </c>
      <c r="H153" s="19" t="e">
        <f>VLOOKUP(C153,[6]PriceList!$C:$D,2,0)</f>
        <v>#N/A</v>
      </c>
      <c r="I153" s="19" t="e">
        <f>VLOOKUP(C153,[7]PriceList!$C:$D,2,0)</f>
        <v>#N/A</v>
      </c>
      <c r="J153" s="19" t="e">
        <f>VLOOKUP(C153,[5]PriceList!$C:$D,2,0)</f>
        <v>#N/A</v>
      </c>
      <c r="K153" s="18" t="e">
        <f>VLOOKUP(C153,[8]PriceList!$C:$D,2,0)</f>
        <v>#N/A</v>
      </c>
    </row>
    <row r="154" spans="1:11" x14ac:dyDescent="0.3">
      <c r="A154" s="18">
        <v>153</v>
      </c>
      <c r="B154" s="18"/>
      <c r="C154" s="19" t="s">
        <v>80</v>
      </c>
      <c r="D154" s="19" t="str">
        <f>VLOOKUP(C154,[1]PriceList!$C:$D,2,0)</f>
        <v>Banker</v>
      </c>
      <c r="E154" s="19" t="str">
        <f>VLOOKUP(C154,[2]PriceList!$C:$D,2,0)</f>
        <v>San Met</v>
      </c>
      <c r="F154" s="19" t="e">
        <f>VLOOKUP(C154,[3]PriceList!$C:$D,2,0)</f>
        <v>#N/A</v>
      </c>
      <c r="G154" s="19" t="str">
        <f>VLOOKUP(C154,[4]PriceList!$C:$D,2,0)</f>
        <v>Metrotop</v>
      </c>
      <c r="H154" s="19" t="str">
        <f>VLOOKUP(C154,[6]PriceList!$C:$D,2,0)</f>
        <v>Zero Weed</v>
      </c>
      <c r="I154" s="19" t="str">
        <f>VLOOKUP(C154,[7]PriceList!$C:$D,2,0)</f>
        <v>Dezier</v>
      </c>
      <c r="J154" s="19" t="str">
        <f>VLOOKUP(C154,[5]PriceList!$C:$D,2,0)</f>
        <v>Scar 70</v>
      </c>
      <c r="K154" s="18" t="str">
        <f>VLOOKUP(C154,[8]PriceList!$C:$D,2,0)</f>
        <v>Verdict</v>
      </c>
    </row>
    <row r="155" spans="1:11" x14ac:dyDescent="0.3">
      <c r="A155" s="18">
        <v>154</v>
      </c>
      <c r="B155" s="18"/>
      <c r="C155" s="19" t="s">
        <v>153</v>
      </c>
      <c r="D155" s="19" t="e">
        <f>VLOOKUP(C155,[1]PriceList!$C:$D,2,0)</f>
        <v>#N/A</v>
      </c>
      <c r="E155" s="19" t="e">
        <f>VLOOKUP(C155,[2]PriceList!$C:$D,2,0)</f>
        <v>#N/A</v>
      </c>
      <c r="F155" s="19" t="e">
        <f>VLOOKUP(C155,[3]PriceList!$C:$D,2,0)</f>
        <v>#N/A</v>
      </c>
      <c r="G155" s="19" t="e">
        <f>VLOOKUP(C155,[4]PriceList!$C:$D,2,0)</f>
        <v>#N/A</v>
      </c>
      <c r="H155" s="19" t="str">
        <f>VLOOKUP(C155,[6]PriceList!$C:$D,2,0)</f>
        <v>Diggaj</v>
      </c>
      <c r="I155" s="19" t="str">
        <f>VLOOKUP(C155,[7]PriceList!$C:$D,2,0)</f>
        <v>Tag Mix</v>
      </c>
      <c r="J155" s="19" t="str">
        <f>VLOOKUP(C155,[5]PriceList!$C:$D,2,0)</f>
        <v>N-Mix</v>
      </c>
      <c r="K155" s="18" t="e">
        <f>VLOOKUP(C155,[8]PriceList!$C:$D,2,0)</f>
        <v>#N/A</v>
      </c>
    </row>
    <row r="156" spans="1:11" x14ac:dyDescent="0.3">
      <c r="A156" s="18">
        <v>155</v>
      </c>
      <c r="B156" s="18"/>
      <c r="C156" s="19" t="s">
        <v>113</v>
      </c>
      <c r="D156" s="19" t="str">
        <f>VLOOKUP(C156,[1]PriceList!$C:$D,2,0)</f>
        <v>Metsu</v>
      </c>
      <c r="E156" s="19" t="e">
        <f>VLOOKUP(C156,[2]PriceList!$C:$D,2,0)</f>
        <v>#N/A</v>
      </c>
      <c r="F156" s="19" t="e">
        <f>VLOOKUP(C156,[3]PriceList!$C:$D,2,0)</f>
        <v>#N/A</v>
      </c>
      <c r="G156" s="19" t="e">
        <f>VLOOKUP(C156,[4]PriceList!$C:$D,2,0)</f>
        <v>#N/A</v>
      </c>
      <c r="H156" s="19" t="e">
        <f>VLOOKUP(C156,[6]PriceList!$C:$D,2,0)</f>
        <v>#N/A</v>
      </c>
      <c r="I156" s="19" t="e">
        <f>VLOOKUP(C156,[7]PriceList!$C:$D,2,0)</f>
        <v>#N/A</v>
      </c>
      <c r="J156" s="19" t="e">
        <f>VLOOKUP(C156,[5]PriceList!$C:$D,2,0)</f>
        <v>#N/A</v>
      </c>
      <c r="K156" s="18" t="e">
        <f>VLOOKUP(C156,[8]PriceList!$C:$D,2,0)</f>
        <v>#N/A</v>
      </c>
    </row>
    <row r="157" spans="1:11" x14ac:dyDescent="0.3">
      <c r="A157" s="18">
        <v>156</v>
      </c>
      <c r="B157" s="18"/>
      <c r="C157" s="28" t="s">
        <v>223</v>
      </c>
      <c r="D157" s="19" t="str">
        <f>VLOOKUP(C157,[1]PriceList!$C:$D,2,0)</f>
        <v>Metsu Gold</v>
      </c>
      <c r="E157" s="19" t="e">
        <f>VLOOKUP(C157,[2]PriceList!$C:$D,2,0)</f>
        <v>#N/A</v>
      </c>
      <c r="F157" s="19" t="e">
        <f>VLOOKUP(C157,[3]PriceList!$C:$D,2,0)</f>
        <v>#N/A</v>
      </c>
      <c r="G157" s="19" t="e">
        <f>VLOOKUP(C157,[4]PriceList!$C:$D,2,0)</f>
        <v>#N/A</v>
      </c>
      <c r="H157" s="19" t="e">
        <f>VLOOKUP(C157,[6]PriceList!$C:$D,2,0)</f>
        <v>#N/A</v>
      </c>
      <c r="I157" s="19" t="e">
        <f>VLOOKUP(C157,[7]PriceList!$C:$D,2,0)</f>
        <v>#N/A</v>
      </c>
      <c r="J157" s="19" t="e">
        <f>VLOOKUP(C157,[5]PriceList!$C:$D,2,0)</f>
        <v>#N/A</v>
      </c>
      <c r="K157" s="18" t="e">
        <f>VLOOKUP(C157,[8]PriceList!$C:$D,2,0)</f>
        <v>#N/A</v>
      </c>
    </row>
    <row r="158" spans="1:11" x14ac:dyDescent="0.3">
      <c r="A158" s="18">
        <v>157</v>
      </c>
      <c r="B158" s="18"/>
      <c r="C158" s="19" t="s">
        <v>159</v>
      </c>
      <c r="D158" s="19" t="e">
        <f>VLOOKUP(C158,[1]PriceList!$C:$D,2,0)</f>
        <v>#N/A</v>
      </c>
      <c r="E158" s="19" t="str">
        <f>VLOOKUP(C158,[2]PriceList!$C:$D,2,0)</f>
        <v>San Gold</v>
      </c>
      <c r="F158" s="19" t="e">
        <f>VLOOKUP(C158,[3]PriceList!$C:$D,2,0)</f>
        <v>#N/A</v>
      </c>
      <c r="G158" s="19" t="e">
        <f>VLOOKUP(C158,[4]PriceList!$C:$D,2,0)</f>
        <v>#N/A</v>
      </c>
      <c r="H158" s="19" t="e">
        <f>VLOOKUP(C158,[6]PriceList!$C:$D,2,0)</f>
        <v>#N/A</v>
      </c>
      <c r="I158" s="19" t="e">
        <f>VLOOKUP(C158,[7]PriceList!$C:$D,2,0)</f>
        <v>#N/A</v>
      </c>
      <c r="J158" s="19" t="e">
        <f>VLOOKUP(C158,[5]PriceList!$C:$D,2,0)</f>
        <v>#N/A</v>
      </c>
      <c r="K158" s="18" t="e">
        <f>VLOOKUP(C158,[8]PriceList!$C:$D,2,0)</f>
        <v>#N/A</v>
      </c>
    </row>
    <row r="159" spans="1:11" x14ac:dyDescent="0.3">
      <c r="A159" s="18">
        <v>158</v>
      </c>
      <c r="B159" s="18"/>
      <c r="C159" s="19" t="s">
        <v>47</v>
      </c>
      <c r="D159" s="19" t="str">
        <f>VLOOKUP(C159,[1]PriceList!$C:$D,2,0)</f>
        <v>Nuvacron</v>
      </c>
      <c r="E159" s="19" t="str">
        <f>VLOOKUP(C159,[2]PriceList!$C:$D,2,0)</f>
        <v>San Mono</v>
      </c>
      <c r="F159" s="19" t="e">
        <f>VLOOKUP(C159,[3]PriceList!$C:$D,2,0)</f>
        <v>#N/A</v>
      </c>
      <c r="G159" s="19" t="str">
        <f>VLOOKUP(C159,[4]PriceList!$C:$D,2,0)</f>
        <v>Aalphos</v>
      </c>
      <c r="H159" s="19" t="e">
        <f>VLOOKUP(C159,[6]PriceList!$C:$D,2,0)</f>
        <v>#N/A</v>
      </c>
      <c r="I159" s="19" t="str">
        <f>VLOOKUP(C159,[7]PriceList!$C:$D,2,0)</f>
        <v>Macrofos</v>
      </c>
      <c r="J159" s="19" t="e">
        <f>VLOOKUP(C159,[5]PriceList!$C:$D,2,0)</f>
        <v>#N/A</v>
      </c>
      <c r="K159" s="18" t="e">
        <f>VLOOKUP(C159,[8]PriceList!$C:$D,2,0)</f>
        <v>#N/A</v>
      </c>
    </row>
    <row r="160" spans="1:11" x14ac:dyDescent="0.3">
      <c r="A160" s="18">
        <v>159</v>
      </c>
      <c r="B160" s="18"/>
      <c r="C160" s="19" t="s">
        <v>165</v>
      </c>
      <c r="D160" s="19" t="e">
        <f>VLOOKUP(C160,[1]PriceList!$C:$D,2,0)</f>
        <v>#N/A</v>
      </c>
      <c r="E160" s="19" t="e">
        <f>VLOOKUP(C160,[2]PriceList!$C:$D,2,0)</f>
        <v>#N/A</v>
      </c>
      <c r="F160" s="19" t="str">
        <f>VLOOKUP(C160,[3]PriceList!$C:$D,2,0)</f>
        <v>Instint</v>
      </c>
      <c r="G160" s="19" t="str">
        <f>VLOOKUP(C160,[4]PriceList!$C:$D,2,0)</f>
        <v>Sophia</v>
      </c>
      <c r="H160" s="19" t="e">
        <f>VLOOKUP(C160,[6]PriceList!$C:$D,2,0)</f>
        <v>#N/A</v>
      </c>
      <c r="I160" s="19" t="str">
        <f>VLOOKUP(C160,[7]PriceList!$C:$D,2,0)</f>
        <v>Matrix</v>
      </c>
      <c r="J160" s="19" t="e">
        <f>VLOOKUP(C160,[5]PriceList!$C:$D,2,0)</f>
        <v>#N/A</v>
      </c>
      <c r="K160" s="18" t="e">
        <f>VLOOKUP(C160,[8]PriceList!$C:$D,2,0)</f>
        <v>#N/A</v>
      </c>
    </row>
    <row r="161" spans="1:11" x14ac:dyDescent="0.3">
      <c r="A161" s="18">
        <v>160</v>
      </c>
      <c r="B161" s="18"/>
      <c r="C161" s="19" t="s">
        <v>173</v>
      </c>
      <c r="D161" s="19" t="e">
        <f>VLOOKUP(C161,[1]PriceList!$C:$D,2,0)</f>
        <v>#N/A</v>
      </c>
      <c r="E161" s="19" t="e">
        <f>VLOOKUP(C161,[2]PriceList!$C:$D,2,0)</f>
        <v>#N/A</v>
      </c>
      <c r="F161" s="19" t="str">
        <f>VLOOKUP(C161,[3]PriceList!$C:$D,2,0)</f>
        <v>Hyper</v>
      </c>
      <c r="G161" s="19" t="e">
        <f>VLOOKUP(C161,[4]PriceList!$C:$D,2,0)</f>
        <v>#N/A</v>
      </c>
      <c r="H161" s="19" t="e">
        <f>VLOOKUP(C161,[6]PriceList!$C:$D,2,0)</f>
        <v>#N/A</v>
      </c>
      <c r="I161" s="19" t="e">
        <f>VLOOKUP(C161,[7]PriceList!$C:$D,2,0)</f>
        <v>#N/A</v>
      </c>
      <c r="J161" s="19" t="e">
        <f>VLOOKUP(C161,[5]PriceList!$C:$D,2,0)</f>
        <v>#N/A</v>
      </c>
      <c r="K161" s="18" t="e">
        <f>VLOOKUP(C161,[8]PriceList!$C:$D,2,0)</f>
        <v>#N/A</v>
      </c>
    </row>
    <row r="162" spans="1:11" x14ac:dyDescent="0.3">
      <c r="A162" s="18">
        <v>161</v>
      </c>
      <c r="B162" s="18"/>
      <c r="C162" s="19" t="s">
        <v>13</v>
      </c>
      <c r="D162" s="19" t="str">
        <f>VLOOKUP(C162,[1]PriceList!$C:$D,2,0)</f>
        <v>Hovercraft</v>
      </c>
      <c r="E162" s="19" t="str">
        <f>VLOOKUP(C162,[2]PriceList!$C:$D,2,0)</f>
        <v>Noben</v>
      </c>
      <c r="F162" s="19" t="str">
        <f>VLOOKUP(C162,[3]PriceList!$C:$D,2,0)</f>
        <v>Affect</v>
      </c>
      <c r="G162" s="19" t="str">
        <f>VLOOKUP(C162,[4]PriceList!$C:$D,2,0)</f>
        <v>Agastya Naag</v>
      </c>
      <c r="H162" s="19" t="e">
        <f>VLOOKUP(C162,[6]PriceList!$C:$D,2,0)</f>
        <v>#N/A</v>
      </c>
      <c r="I162" s="19" t="str">
        <f>VLOOKUP(C162,[7]PriceList!$C:$D,2,0)</f>
        <v>Tag Novatin</v>
      </c>
      <c r="J162" s="19" t="str">
        <f>VLOOKUP(C162,[5]PriceList!$C:$D,2,0)</f>
        <v>Rajveer</v>
      </c>
      <c r="K162" s="18" t="e">
        <f>VLOOKUP(C162,[8]PriceList!$C:$D,2,0)</f>
        <v>#N/A</v>
      </c>
    </row>
    <row r="163" spans="1:11" x14ac:dyDescent="0.3">
      <c r="A163" s="18">
        <v>162</v>
      </c>
      <c r="B163" s="18"/>
      <c r="C163" s="19" t="s">
        <v>19</v>
      </c>
      <c r="D163" s="19" t="str">
        <f>VLOOKUP(C163,[1]PriceList!$C:$D,2,0)</f>
        <v>Terranova</v>
      </c>
      <c r="E163" s="19" t="str">
        <f>VLOOKUP(C163,[2]PriceList!$C:$D,2,0)</f>
        <v>Nuron 10</v>
      </c>
      <c r="F163" s="19" t="e">
        <f>VLOOKUP(C163,[3]PriceList!$C:$D,2,0)</f>
        <v>#N/A</v>
      </c>
      <c r="G163" s="19" t="str">
        <f>VLOOKUP(C163,[4]PriceList!$C:$D,2,0)</f>
        <v>Nuron</v>
      </c>
      <c r="H163" s="19" t="e">
        <f>VLOOKUP(C163,[6]PriceList!$C:$D,2,0)</f>
        <v>#N/A</v>
      </c>
      <c r="I163" s="19" t="e">
        <f>VLOOKUP(C163,[7]PriceList!$C:$D,2,0)</f>
        <v>#N/A</v>
      </c>
      <c r="J163" s="19" t="str">
        <f>VLOOKUP(C163,[5]PriceList!$C:$D,2,0)</f>
        <v>Ryman</v>
      </c>
      <c r="K163" s="18" t="e">
        <f>VLOOKUP(C163,[8]PriceList!$C:$D,2,0)</f>
        <v>#N/A</v>
      </c>
    </row>
    <row r="164" spans="1:11" x14ac:dyDescent="0.3">
      <c r="A164" s="18">
        <v>163</v>
      </c>
      <c r="B164" s="18"/>
      <c r="C164" s="19" t="s">
        <v>167</v>
      </c>
      <c r="D164" s="19" t="str">
        <f>VLOOKUP(C164,[1]PriceList!$C:$D,2,0)</f>
        <v>Novacrop</v>
      </c>
      <c r="E164" s="19" t="e">
        <f>VLOOKUP(C164,[2]PriceList!$C:$D,2,0)</f>
        <v>#N/A</v>
      </c>
      <c r="F164" s="19" t="str">
        <f>VLOOKUP(C164,[3]PriceList!$C:$D,2,0)</f>
        <v>Plithox</v>
      </c>
      <c r="G164" s="19" t="str">
        <f>VLOOKUP(C164,[4]PriceList!$C:$D,2,0)</f>
        <v>Hot Star</v>
      </c>
      <c r="H164" s="19" t="str">
        <f>VLOOKUP(C164,[6]PriceList!$C:$D,2,0)</f>
        <v>Biltora</v>
      </c>
      <c r="I164" s="19" t="str">
        <f>VLOOKUP(C164,[7]PriceList!$C:$D,2,0)</f>
        <v>Tag Novadox Sc</v>
      </c>
      <c r="J164" s="19" t="str">
        <f>VLOOKUP(C164,[5]PriceList!$C:$D,2,0)</f>
        <v>Psital</v>
      </c>
      <c r="K164" s="18" t="e">
        <f>VLOOKUP(C164,[8]PriceList!$C:$D,2,0)</f>
        <v>#N/A</v>
      </c>
    </row>
    <row r="165" spans="1:11" x14ac:dyDescent="0.3">
      <c r="A165" s="18">
        <v>164</v>
      </c>
      <c r="B165" s="18"/>
      <c r="C165" s="31" t="s">
        <v>307</v>
      </c>
      <c r="D165" s="19" t="e">
        <f>VLOOKUP(C165,[1]PriceList!$C:$D,2,0)</f>
        <v>#N/A</v>
      </c>
      <c r="E165" s="19" t="e">
        <f>VLOOKUP(C165,[2]PriceList!$C:$D,2,0)</f>
        <v>#N/A</v>
      </c>
      <c r="F165" s="19" t="e">
        <f>VLOOKUP(C165,[3]PriceList!$C:$D,2,0)</f>
        <v>#N/A</v>
      </c>
      <c r="G165" s="19" t="e">
        <f>VLOOKUP(C165,[4]PriceList!$C:$D,2,0)</f>
        <v>#N/A</v>
      </c>
      <c r="H165" s="19" t="e">
        <f>VLOOKUP(C165,[6]PriceList!$C:$D,2,0)</f>
        <v>#N/A</v>
      </c>
      <c r="I165" s="19" t="str">
        <f>VLOOKUP(C165,[7]PriceList!$C:$D,2,0)</f>
        <v>Tag Topper</v>
      </c>
      <c r="J165" s="19" t="e">
        <f>VLOOKUP(C165,[5]PriceList!$C:$D,2,0)</f>
        <v>#N/A</v>
      </c>
      <c r="K165" s="18" t="e">
        <f>VLOOKUP(C165,[8]PriceList!$C:$D,2,0)</f>
        <v>#N/A</v>
      </c>
    </row>
    <row r="166" spans="1:11" x14ac:dyDescent="0.3">
      <c r="A166" s="18">
        <v>165</v>
      </c>
      <c r="B166" s="18"/>
      <c r="C166" s="31" t="s">
        <v>315</v>
      </c>
      <c r="D166" s="19" t="e">
        <f>VLOOKUP(C166,[1]PriceList!$C:$D,2,0)</f>
        <v>#N/A</v>
      </c>
      <c r="E166" s="19" t="e">
        <f>VLOOKUP(C166,[2]PriceList!$C:$D,2,0)</f>
        <v>#N/A</v>
      </c>
      <c r="F166" s="19" t="e">
        <f>VLOOKUP(C166,[3]PriceList!$C:$D,2,0)</f>
        <v>#N/A</v>
      </c>
      <c r="G166" s="19" t="e">
        <f>VLOOKUP(C166,[4]PriceList!$C:$D,2,0)</f>
        <v>#N/A</v>
      </c>
      <c r="H166" s="19" t="e">
        <f>VLOOKUP(C166,[6]PriceList!$C:$D,2,0)</f>
        <v>#N/A</v>
      </c>
      <c r="I166" s="19" t="str">
        <f>VLOOKUP(C166,[7]PriceList!$C:$D,2,0)</f>
        <v>Tag Fertis 13.40.13</v>
      </c>
      <c r="J166" s="19" t="e">
        <f>VLOOKUP(C166,[5]PriceList!$C:$D,2,0)</f>
        <v>#N/A</v>
      </c>
      <c r="K166" s="18" t="e">
        <f>VLOOKUP(C166,[8]PriceList!$C:$D,2,0)</f>
        <v>#N/A</v>
      </c>
    </row>
    <row r="167" spans="1:11" x14ac:dyDescent="0.3">
      <c r="A167" s="18">
        <v>166</v>
      </c>
      <c r="B167" s="18"/>
      <c r="C167" s="31" t="s">
        <v>314</v>
      </c>
      <c r="D167" s="19" t="e">
        <f>VLOOKUP(C167,[1]PriceList!$C:$D,2,0)</f>
        <v>#N/A</v>
      </c>
      <c r="E167" s="19" t="e">
        <f>VLOOKUP(C167,[2]PriceList!$C:$D,2,0)</f>
        <v>#N/A</v>
      </c>
      <c r="F167" s="19" t="e">
        <f>VLOOKUP(C167,[3]PriceList!$C:$D,2,0)</f>
        <v>#N/A</v>
      </c>
      <c r="G167" s="19" t="e">
        <f>VLOOKUP(C167,[4]PriceList!$C:$D,2,0)</f>
        <v>#N/A</v>
      </c>
      <c r="H167" s="19" t="e">
        <f>VLOOKUP(C167,[6]PriceList!$C:$D,2,0)</f>
        <v>#N/A</v>
      </c>
      <c r="I167" s="19" t="str">
        <f>VLOOKUP(C167,[7]PriceList!$C:$D,2,0)</f>
        <v>Tag Fertis 19.19.19</v>
      </c>
      <c r="J167" s="19" t="e">
        <f>VLOOKUP(C167,[5]PriceList!$C:$D,2,0)</f>
        <v>#N/A</v>
      </c>
      <c r="K167" s="18" t="e">
        <f>VLOOKUP(C167,[8]PriceList!$C:$D,2,0)</f>
        <v>#N/A</v>
      </c>
    </row>
    <row r="168" spans="1:11" x14ac:dyDescent="0.3">
      <c r="A168" s="18">
        <v>167</v>
      </c>
      <c r="B168" s="18"/>
      <c r="C168" s="31" t="s">
        <v>306</v>
      </c>
      <c r="D168" s="19" t="e">
        <f>VLOOKUP(C168,[1]PriceList!$C:$D,2,0)</f>
        <v>#N/A</v>
      </c>
      <c r="E168" s="19" t="e">
        <f>VLOOKUP(C168,[2]PriceList!$C:$D,2,0)</f>
        <v>#N/A</v>
      </c>
      <c r="F168" s="19" t="e">
        <f>VLOOKUP(C168,[3]PriceList!$C:$D,2,0)</f>
        <v>#N/A</v>
      </c>
      <c r="G168" s="19" t="e">
        <f>VLOOKUP(C168,[4]PriceList!$C:$D,2,0)</f>
        <v>#N/A</v>
      </c>
      <c r="H168" s="19" t="e">
        <f>VLOOKUP(C168,[6]PriceList!$C:$D,2,0)</f>
        <v>#N/A</v>
      </c>
      <c r="I168" s="19" t="str">
        <f>VLOOKUP(C168,[7]PriceList!$C:$D,2,0)</f>
        <v>Tag Start</v>
      </c>
      <c r="J168" s="19" t="e">
        <f>VLOOKUP(C168,[5]PriceList!$C:$D,2,0)</f>
        <v>#N/A</v>
      </c>
      <c r="K168" s="18" t="e">
        <f>VLOOKUP(C168,[8]PriceList!$C:$D,2,0)</f>
        <v>#N/A</v>
      </c>
    </row>
    <row r="169" spans="1:11" x14ac:dyDescent="0.3">
      <c r="A169" s="18">
        <v>168</v>
      </c>
      <c r="B169" s="18"/>
      <c r="C169" s="31" t="s">
        <v>281</v>
      </c>
      <c r="D169" s="19" t="e">
        <f>VLOOKUP(C169,[1]PriceList!$C:$D,2,0)</f>
        <v>#N/A</v>
      </c>
      <c r="E169" s="19" t="e">
        <f>VLOOKUP(C169,[2]PriceList!$C:$D,2,0)</f>
        <v>#N/A</v>
      </c>
      <c r="F169" s="19" t="e">
        <f>VLOOKUP(C169,[3]PriceList!$C:$D,2,0)</f>
        <v>#N/A</v>
      </c>
      <c r="G169" s="19" t="e">
        <f>VLOOKUP(C169,[4]PriceList!$C:$D,2,0)</f>
        <v>#N/A</v>
      </c>
      <c r="H169" s="19" t="e">
        <f>VLOOKUP(C169,[6]PriceList!$C:$D,2,0)</f>
        <v>#N/A</v>
      </c>
      <c r="I169" s="19" t="str">
        <f>VLOOKUP(C169,[7]PriceList!$C:$D,2,0)</f>
        <v>Propel</v>
      </c>
      <c r="J169" s="19" t="e">
        <f>VLOOKUP(C169,[5]PriceList!$C:$D,2,0)</f>
        <v>#N/A</v>
      </c>
      <c r="K169" s="18" t="e">
        <f>VLOOKUP(C169,[8]PriceList!$C:$D,2,0)</f>
        <v>#N/A</v>
      </c>
    </row>
    <row r="170" spans="1:11" x14ac:dyDescent="0.3">
      <c r="A170" s="18">
        <v>169</v>
      </c>
      <c r="B170" s="18"/>
      <c r="C170" s="31" t="s">
        <v>298</v>
      </c>
      <c r="D170" s="19" t="e">
        <f>VLOOKUP(C170,[1]PriceList!$C:$D,2,0)</f>
        <v>#N/A</v>
      </c>
      <c r="E170" s="19" t="e">
        <f>VLOOKUP(C170,[2]PriceList!$C:$D,2,0)</f>
        <v>#N/A</v>
      </c>
      <c r="F170" s="19" t="e">
        <f>VLOOKUP(C170,[3]PriceList!$C:$D,2,0)</f>
        <v>#N/A</v>
      </c>
      <c r="G170" s="19" t="e">
        <f>VLOOKUP(C170,[4]PriceList!$C:$D,2,0)</f>
        <v>#N/A</v>
      </c>
      <c r="H170" s="19" t="e">
        <f>VLOOKUP(C170,[6]PriceList!$C:$D,2,0)</f>
        <v>#N/A</v>
      </c>
      <c r="I170" s="19" t="str">
        <f>VLOOKUP(C170,[7]PriceList!$C:$D,2,0)</f>
        <v>Tag Rocket</v>
      </c>
      <c r="J170" s="19" t="e">
        <f>VLOOKUP(C170,[5]PriceList!$C:$D,2,0)</f>
        <v>#N/A</v>
      </c>
      <c r="K170" s="18" t="e">
        <f>VLOOKUP(C170,[8]PriceList!$C:$D,2,0)</f>
        <v>#N/A</v>
      </c>
    </row>
    <row r="171" spans="1:11" x14ac:dyDescent="0.3">
      <c r="A171" s="18">
        <v>170</v>
      </c>
      <c r="B171" s="18"/>
      <c r="C171" s="31" t="s">
        <v>280</v>
      </c>
      <c r="D171" s="19" t="e">
        <f>VLOOKUP(C171,[1]PriceList!$C:$D,2,0)</f>
        <v>#N/A</v>
      </c>
      <c r="E171" s="19" t="e">
        <f>VLOOKUP(C171,[2]PriceList!$C:$D,2,0)</f>
        <v>#N/A</v>
      </c>
      <c r="F171" s="19" t="e">
        <f>VLOOKUP(C171,[3]PriceList!$C:$D,2,0)</f>
        <v>#N/A</v>
      </c>
      <c r="G171" s="19" t="e">
        <f>VLOOKUP(C171,[4]PriceList!$C:$D,2,0)</f>
        <v>#N/A</v>
      </c>
      <c r="H171" s="19" t="e">
        <f>VLOOKUP(C171,[6]PriceList!$C:$D,2,0)</f>
        <v>#N/A</v>
      </c>
      <c r="I171" s="19" t="str">
        <f>VLOOKUP(C171,[7]PriceList!$C:$D,2,0)</f>
        <v>Nasa</v>
      </c>
      <c r="J171" s="19" t="e">
        <f>VLOOKUP(C171,[5]PriceList!$C:$D,2,0)</f>
        <v>#N/A</v>
      </c>
      <c r="K171" s="18" t="e">
        <f>VLOOKUP(C171,[8]PriceList!$C:$D,2,0)</f>
        <v>#N/A</v>
      </c>
    </row>
    <row r="172" spans="1:11" x14ac:dyDescent="0.3">
      <c r="A172" s="18">
        <v>171</v>
      </c>
      <c r="B172" s="18"/>
      <c r="C172" s="18" t="s">
        <v>319</v>
      </c>
      <c r="D172" s="19" t="str">
        <f>VLOOKUP(C172,[1]PriceList!$C:$D,2,0)</f>
        <v>Osaka</v>
      </c>
      <c r="E172" s="19" t="str">
        <f>VLOOKUP(C172,[2]PriceList!$C:$D,2,0)</f>
        <v xml:space="preserve">Oxyco </v>
      </c>
      <c r="F172" s="19" t="e">
        <f>VLOOKUP(C172,[3]PriceList!$C:$D,2,0)</f>
        <v>#N/A</v>
      </c>
      <c r="G172" s="19" t="str">
        <f>VLOOKUP(C172,[4]PriceList!$C:$D,2,0)</f>
        <v>Oxygan</v>
      </c>
      <c r="H172" s="19" t="e">
        <f>VLOOKUP(C172,[6]PriceList!$C:$D,2,0)</f>
        <v>#N/A</v>
      </c>
      <c r="I172" s="19" t="str">
        <f>VLOOKUP(C172,[7]PriceList!$C:$D,2,0)</f>
        <v>Tagglobe</v>
      </c>
      <c r="J172" s="19" t="str">
        <f>VLOOKUP(C172,[5]PriceList!$C:$D,2,0)</f>
        <v>Preecide</v>
      </c>
      <c r="K172" s="18" t="str">
        <f>VLOOKUP(C172,[8]PriceList!$C:$D,2,0)</f>
        <v>Over</v>
      </c>
    </row>
    <row r="173" spans="1:11" x14ac:dyDescent="0.3">
      <c r="A173" s="18">
        <v>172</v>
      </c>
      <c r="B173" s="18"/>
      <c r="C173" s="19" t="s">
        <v>255</v>
      </c>
      <c r="D173" s="19" t="str">
        <f>VLOOKUP(C173,[1]PriceList!$C:$D,2,0)</f>
        <v>Yanky</v>
      </c>
      <c r="E173" s="19" t="e">
        <f>VLOOKUP(C173,[2]PriceList!$C:$D,2,0)</f>
        <v>#N/A</v>
      </c>
      <c r="F173" s="19" t="e">
        <f>VLOOKUP(C173,[3]PriceList!$C:$D,2,0)</f>
        <v>#N/A</v>
      </c>
      <c r="G173" s="19" t="e">
        <f>VLOOKUP(C173,[4]PriceList!$C:$D,2,0)</f>
        <v>#N/A</v>
      </c>
      <c r="H173" s="19" t="e">
        <f>VLOOKUP(C173,[6]PriceList!$C:$D,2,0)</f>
        <v>#N/A</v>
      </c>
      <c r="I173" s="19" t="str">
        <f>VLOOKUP(C173,[7]PriceList!$C:$D,2,0)</f>
        <v>Tag Tar</v>
      </c>
      <c r="J173" s="19" t="str">
        <f>VLOOKUP(C173,[5]PriceList!$C:$D,2,0)</f>
        <v>Cult</v>
      </c>
      <c r="K173" s="18" t="str">
        <f>VLOOKUP(C173,[8]PriceList!$C:$D,2,0)</f>
        <v>Flute</v>
      </c>
    </row>
    <row r="174" spans="1:11" x14ac:dyDescent="0.3">
      <c r="A174" s="18">
        <v>173</v>
      </c>
      <c r="B174" s="18"/>
      <c r="C174" s="19" t="s">
        <v>272</v>
      </c>
      <c r="D174" s="19" t="str">
        <f>VLOOKUP(C174,[1]PriceList!$C:$D,2,0)</f>
        <v>Yanky Super</v>
      </c>
      <c r="E174" s="19" t="e">
        <f>VLOOKUP(C174,[2]PriceList!$C:$D,2,0)</f>
        <v>#N/A</v>
      </c>
      <c r="F174" s="19" t="e">
        <f>VLOOKUP(C174,[3]PriceList!$C:$D,2,0)</f>
        <v>#N/A</v>
      </c>
      <c r="G174" s="19" t="e">
        <f>VLOOKUP(C174,[4]PriceList!$C:$D,2,0)</f>
        <v>#N/A</v>
      </c>
      <c r="H174" s="19" t="str">
        <f>VLOOKUP(C174,[6]PriceList!$C:$D,2,0)</f>
        <v>Vestar</v>
      </c>
      <c r="I174" s="19" t="str">
        <f>VLOOKUP(C174,[7]PriceList!$C:$D,2,0)</f>
        <v>Tag Tar Gold</v>
      </c>
      <c r="J174" s="19" t="str">
        <f>VLOOKUP(C174,[5]PriceList!$C:$D,2,0)</f>
        <v>Cult Gold</v>
      </c>
      <c r="K174" s="18" t="e">
        <f>VLOOKUP(C174,[8]PriceList!$C:$D,2,0)</f>
        <v>#N/A</v>
      </c>
    </row>
    <row r="175" spans="1:11" x14ac:dyDescent="0.3">
      <c r="A175" s="18">
        <v>174</v>
      </c>
      <c r="B175" s="18"/>
      <c r="C175" s="31" t="s">
        <v>300</v>
      </c>
      <c r="D175" s="19" t="e">
        <f>VLOOKUP(C175,[1]PriceList!$C:$D,2,0)</f>
        <v>#N/A</v>
      </c>
      <c r="E175" s="19" t="e">
        <f>VLOOKUP(C175,[2]PriceList!$C:$D,2,0)</f>
        <v>#N/A</v>
      </c>
      <c r="F175" s="19" t="e">
        <f>VLOOKUP(C175,[3]PriceList!$C:$D,2,0)</f>
        <v>#N/A</v>
      </c>
      <c r="G175" s="19" t="e">
        <f>VLOOKUP(C175,[4]PriceList!$C:$D,2,0)</f>
        <v>#N/A</v>
      </c>
      <c r="H175" s="19" t="e">
        <f>VLOOKUP(C175,[6]PriceList!$C:$D,2,0)</f>
        <v>#N/A</v>
      </c>
      <c r="I175" s="19" t="str">
        <f>VLOOKUP(C175,[7]PriceList!$C:$D,2,0)</f>
        <v>Tag Proxy</v>
      </c>
      <c r="J175" s="19" t="e">
        <f>VLOOKUP(C175,[5]PriceList!$C:$D,2,0)</f>
        <v>#N/A</v>
      </c>
      <c r="K175" s="18" t="e">
        <f>VLOOKUP(C175,[8]PriceList!$C:$D,2,0)</f>
        <v>#N/A</v>
      </c>
    </row>
    <row r="176" spans="1:11" x14ac:dyDescent="0.3">
      <c r="A176" s="18">
        <v>175</v>
      </c>
      <c r="B176" s="18" t="s">
        <v>190</v>
      </c>
      <c r="C176" s="19" t="s">
        <v>86</v>
      </c>
      <c r="D176" s="19" t="str">
        <f>VLOOKUP(C176,[1]PriceList!$C:$D,2,0)</f>
        <v>Undertaker</v>
      </c>
      <c r="E176" s="19" t="str">
        <f>VLOOKUP(C176,[2]PriceList!$C:$D,2,0)</f>
        <v>San Quat</v>
      </c>
      <c r="F176" s="19" t="str">
        <f>VLOOKUP(C176,[3]PriceList!$C:$D,2,0)</f>
        <v>Axquit</v>
      </c>
      <c r="G176" s="19" t="str">
        <f>VLOOKUP(C176,[4]PriceList!$C:$D,2,0)</f>
        <v>Aalquit</v>
      </c>
      <c r="H176" s="19" t="str">
        <f>VLOOKUP(C176,[6]PriceList!$C:$D,2,0)</f>
        <v>Parakh</v>
      </c>
      <c r="I176" s="19" t="str">
        <f>VLOOKUP(C176,[7]PriceList!$C:$D,2,0)</f>
        <v>Tagquit</v>
      </c>
      <c r="J176" s="19" t="str">
        <f>VLOOKUP(C176,[5]PriceList!$C:$D,2,0)</f>
        <v>Speedy</v>
      </c>
      <c r="K176" s="18" t="str">
        <f>VLOOKUP(C176,[8]PriceList!$C:$D,2,0)</f>
        <v>Seizure</v>
      </c>
    </row>
    <row r="177" spans="1:11" x14ac:dyDescent="0.3">
      <c r="A177" s="18">
        <v>176</v>
      </c>
      <c r="B177" s="18"/>
      <c r="C177" s="19" t="s">
        <v>216</v>
      </c>
      <c r="D177" s="19" t="str">
        <f>VLOOKUP(C177,[1]PriceList!$C:$D,2,0)</f>
        <v>Topliner</v>
      </c>
      <c r="E177" s="19" t="e">
        <f>VLOOKUP(C177,[2]PriceList!$C:$D,2,0)</f>
        <v>#N/A</v>
      </c>
      <c r="F177" s="19" t="e">
        <f>VLOOKUP(C177,[3]PriceList!$C:$D,2,0)</f>
        <v>#N/A</v>
      </c>
      <c r="G177" s="19" t="e">
        <f>VLOOKUP(C177,[4]PriceList!$C:$D,2,0)</f>
        <v>#N/A</v>
      </c>
      <c r="H177" s="19" t="e">
        <f>VLOOKUP(C177,[6]PriceList!$C:$D,2,0)</f>
        <v>#N/A</v>
      </c>
      <c r="I177" s="19" t="e">
        <f>VLOOKUP(C177,[7]PriceList!$C:$D,2,0)</f>
        <v>#N/A</v>
      </c>
      <c r="J177" s="19" t="e">
        <f>VLOOKUP(C177,[5]PriceList!$C:$D,2,0)</f>
        <v>#N/A</v>
      </c>
      <c r="K177" s="18" t="e">
        <f>VLOOKUP(C177,[8]PriceList!$C:$D,2,0)</f>
        <v>#N/A</v>
      </c>
    </row>
    <row r="178" spans="1:11" x14ac:dyDescent="0.3">
      <c r="A178" s="18">
        <v>177</v>
      </c>
      <c r="B178" s="18"/>
      <c r="C178" s="19" t="s">
        <v>249</v>
      </c>
      <c r="D178" s="19" t="e">
        <f>VLOOKUP(C178,[1]PriceList!$C:$D,2,0)</f>
        <v>#N/A</v>
      </c>
      <c r="E178" s="19" t="e">
        <f>VLOOKUP(C178,[2]PriceList!$C:$D,2,0)</f>
        <v>#N/A</v>
      </c>
      <c r="F178" s="19" t="e">
        <f>VLOOKUP(C178,[3]PriceList!$C:$D,2,0)</f>
        <v>#N/A</v>
      </c>
      <c r="G178" s="19" t="e">
        <f>VLOOKUP(C178,[4]PriceList!$C:$D,2,0)</f>
        <v>#N/A</v>
      </c>
      <c r="H178" s="19" t="e">
        <f>VLOOKUP(C178,[6]PriceList!$C:$D,2,0)</f>
        <v>#N/A</v>
      </c>
      <c r="I178" s="19" t="e">
        <f>VLOOKUP(C178,[7]PriceList!$C:$D,2,0)</f>
        <v>#N/A</v>
      </c>
      <c r="J178" s="19" t="e">
        <f>VLOOKUP(C178,[5]PriceList!$C:$D,2,0)</f>
        <v>#N/A</v>
      </c>
      <c r="K178" s="18" t="str">
        <f>VLOOKUP(C178,[8]PriceList!$C:$D,2,0)</f>
        <v>Allrounder</v>
      </c>
    </row>
    <row r="179" spans="1:11" x14ac:dyDescent="0.3">
      <c r="A179" s="18">
        <v>178</v>
      </c>
      <c r="B179" s="18"/>
      <c r="C179" s="19" t="s">
        <v>243</v>
      </c>
      <c r="D179" s="19" t="e">
        <f>VLOOKUP(C179,[1]PriceList!$C:$D,2,0)</f>
        <v>#N/A</v>
      </c>
      <c r="E179" s="19" t="str">
        <f>VLOOKUP(C179,[2]PriceList!$C:$D,2,0)</f>
        <v>I Pendi</v>
      </c>
      <c r="F179" s="19" t="e">
        <f>VLOOKUP(C179,[3]PriceList!$C:$D,2,0)</f>
        <v>#N/A</v>
      </c>
      <c r="G179" s="19" t="e">
        <f>VLOOKUP(C179,[4]PriceList!$C:$D,2,0)</f>
        <v>#N/A</v>
      </c>
      <c r="H179" s="19" t="str">
        <f>VLOOKUP(C179,[6]PriceList!$C:$D,2,0)</f>
        <v>Brash</v>
      </c>
      <c r="I179" s="19" t="e">
        <f>VLOOKUP(C179,[7]PriceList!$C:$D,2,0)</f>
        <v>#N/A</v>
      </c>
      <c r="J179" s="19" t="str">
        <f>VLOOKUP(C179,[5]PriceList!$C:$D,2,0)</f>
        <v>Pendi Plus</v>
      </c>
      <c r="K179" s="18" t="str">
        <f>VLOOKUP(C179,[8]PriceList!$C:$D,2,0)</f>
        <v>Style Plus</v>
      </c>
    </row>
    <row r="180" spans="1:11" x14ac:dyDescent="0.3">
      <c r="A180" s="18">
        <v>179</v>
      </c>
      <c r="B180" s="18"/>
      <c r="C180" s="19" t="s">
        <v>87</v>
      </c>
      <c r="D180" s="19" t="str">
        <f>VLOOKUP(C180,[1]PriceList!$C:$D,2,0)</f>
        <v>Garzan</v>
      </c>
      <c r="E180" s="19" t="str">
        <f>VLOOKUP(C180,[2]PriceList!$C:$D,2,0)</f>
        <v>San Pend</v>
      </c>
      <c r="F180" s="19" t="e">
        <f>VLOOKUP(C180,[3]PriceList!$C:$D,2,0)</f>
        <v>#N/A</v>
      </c>
      <c r="G180" s="19" t="str">
        <f>VLOOKUP(C180,[4]PriceList!$C:$D,2,0)</f>
        <v>Shoot</v>
      </c>
      <c r="H180" s="19" t="str">
        <f>VLOOKUP(C180,[6]PriceList!$C:$D,2,0)</f>
        <v>Penda-30</v>
      </c>
      <c r="I180" s="19" t="str">
        <f>VLOOKUP(C180,[7]PriceList!$C:$D,2,0)</f>
        <v>Tagpendi</v>
      </c>
      <c r="J180" s="19" t="e">
        <f>VLOOKUP(C180,[5]PriceList!$C:$D,2,0)</f>
        <v>#N/A</v>
      </c>
      <c r="K180" s="18" t="str">
        <f>VLOOKUP(C180,[8]PriceList!$C:$D,2,0)</f>
        <v>Pendifix</v>
      </c>
    </row>
    <row r="181" spans="1:11" x14ac:dyDescent="0.3">
      <c r="A181" s="18">
        <v>180</v>
      </c>
      <c r="B181" s="18"/>
      <c r="C181" s="19" t="s">
        <v>258</v>
      </c>
      <c r="D181" s="19" t="e">
        <f>VLOOKUP(C181,[1]PriceList!$C:$D,2,0)</f>
        <v>#N/A</v>
      </c>
      <c r="E181" s="19" t="e">
        <f>VLOOKUP(C181,[2]PriceList!$C:$D,2,0)</f>
        <v>#N/A</v>
      </c>
      <c r="F181" s="19" t="e">
        <f>VLOOKUP(C181,[3]PriceList!$C:$D,2,0)</f>
        <v>#N/A</v>
      </c>
      <c r="G181" s="19" t="e">
        <f>VLOOKUP(C181,[4]PriceList!$C:$D,2,0)</f>
        <v>#N/A</v>
      </c>
      <c r="H181" s="19" t="e">
        <f>VLOOKUP(C181,[6]PriceList!$C:$D,2,0)</f>
        <v>#N/A</v>
      </c>
      <c r="I181" s="19" t="e">
        <f>VLOOKUP(C181,[7]PriceList!$C:$D,2,0)</f>
        <v>#N/A</v>
      </c>
      <c r="J181" s="19" t="e">
        <f>VLOOKUP(C181,[5]PriceList!$C:$D,2,0)</f>
        <v>#N/A</v>
      </c>
      <c r="K181" s="18" t="str">
        <f>VLOOKUP(C181,[8]PriceList!$C:$D,2,0)</f>
        <v>Platform</v>
      </c>
    </row>
    <row r="182" spans="1:11" x14ac:dyDescent="0.3">
      <c r="A182" s="18">
        <v>181</v>
      </c>
      <c r="B182" s="18"/>
      <c r="C182" s="19" t="s">
        <v>101</v>
      </c>
      <c r="D182" s="19" t="str">
        <f>VLOOKUP(C182,[1]PriceList!$C:$D,2,0)</f>
        <v>Pandy cs</v>
      </c>
      <c r="E182" s="19" t="e">
        <f>VLOOKUP(C182,[2]PriceList!$C:$D,2,0)</f>
        <v>#N/A</v>
      </c>
      <c r="F182" s="19" t="str">
        <f>VLOOKUP(C182,[3]PriceList!$C:$D,2,0)</f>
        <v>Pendant Extra</v>
      </c>
      <c r="G182" s="19" t="str">
        <f>VLOOKUP(C182,[4]PriceList!$C:$D,2,0)</f>
        <v>Shoot Extra</v>
      </c>
      <c r="H182" s="19" t="str">
        <f>VLOOKUP(C182,[6]PriceList!$C:$D,2,0)</f>
        <v>Cleanguard</v>
      </c>
      <c r="I182" s="19" t="str">
        <f>VLOOKUP(C182,[7]PriceList!$C:$D,2,0)</f>
        <v>Pendi Gold</v>
      </c>
      <c r="J182" s="19" t="str">
        <f>VLOOKUP(C182,[5]PriceList!$C:$D,2,0)</f>
        <v>Randal Royal</v>
      </c>
      <c r="K182" s="18" t="str">
        <f>VLOOKUP(C182,[8]PriceList!$C:$D,2,0)</f>
        <v>Pendi Rich</v>
      </c>
    </row>
    <row r="183" spans="1:11" x14ac:dyDescent="0.3">
      <c r="A183" s="18">
        <v>182</v>
      </c>
      <c r="B183" s="18"/>
      <c r="C183" s="28" t="s">
        <v>217</v>
      </c>
      <c r="D183" s="19" t="str">
        <f>VLOOKUP(C183,[1]PriceList!$C:$D,2,0)</f>
        <v>Sushi Xtend</v>
      </c>
      <c r="E183" s="19" t="e">
        <f>VLOOKUP(C183,[2]PriceList!$C:$D,2,0)</f>
        <v>#N/A</v>
      </c>
      <c r="F183" s="19" t="e">
        <f>VLOOKUP(C183,[3]PriceList!$C:$D,2,0)</f>
        <v>#N/A</v>
      </c>
      <c r="G183" s="19" t="e">
        <f>VLOOKUP(C183,[4]PriceList!$C:$D,2,0)</f>
        <v>#N/A</v>
      </c>
      <c r="H183" s="19" t="e">
        <f>VLOOKUP(C183,[6]PriceList!$C:$D,2,0)</f>
        <v>#N/A</v>
      </c>
      <c r="I183" s="19" t="e">
        <f>VLOOKUP(C183,[7]PriceList!$C:$D,2,0)</f>
        <v>#N/A</v>
      </c>
      <c r="J183" s="19" t="e">
        <f>VLOOKUP(C183,[5]PriceList!$C:$D,2,0)</f>
        <v>#N/A</v>
      </c>
      <c r="K183" s="18" t="e">
        <f>VLOOKUP(C183,[8]PriceList!$C:$D,2,0)</f>
        <v>#N/A</v>
      </c>
    </row>
    <row r="184" spans="1:11" x14ac:dyDescent="0.3">
      <c r="A184" s="18">
        <v>183</v>
      </c>
      <c r="B184" s="18"/>
      <c r="C184" s="19" t="s">
        <v>97</v>
      </c>
      <c r="D184" s="19" t="str">
        <f>VLOOKUP(C184,[1]PriceList!$C:$D,2,0)</f>
        <v>Sangria</v>
      </c>
      <c r="E184" s="19" t="e">
        <f>VLOOKUP(C184,[2]PriceList!$C:$D,2,0)</f>
        <v>#N/A</v>
      </c>
      <c r="F184" s="19" t="e">
        <f>VLOOKUP(C184,[3]PriceList!$C:$D,2,0)</f>
        <v>#N/A</v>
      </c>
      <c r="G184" s="19" t="str">
        <f>VLOOKUP(C184,[4]PriceList!$C:$D,2,0)</f>
        <v>Drone</v>
      </c>
      <c r="H184" s="19" t="e">
        <f>VLOOKUP(C184,[6]PriceList!$C:$D,2,0)</f>
        <v>#N/A</v>
      </c>
      <c r="I184" s="19" t="str">
        <f>VLOOKUP(C184,[7]PriceList!$C:$D,2,0)</f>
        <v>Tag Flinch</v>
      </c>
      <c r="J184" s="19" t="e">
        <f>VLOOKUP(C184,[5]PriceList!$C:$D,2,0)</f>
        <v>#N/A</v>
      </c>
      <c r="K184" s="18" t="e">
        <f>VLOOKUP(C184,[8]PriceList!$C:$D,2,0)</f>
        <v>#N/A</v>
      </c>
    </row>
    <row r="185" spans="1:11" x14ac:dyDescent="0.3">
      <c r="A185" s="18">
        <v>184</v>
      </c>
      <c r="B185" s="18"/>
      <c r="C185" s="19" t="s">
        <v>92</v>
      </c>
      <c r="D185" s="19" t="str">
        <f>VLOOKUP(C185,[1]PriceList!$C:$D,2,0)</f>
        <v>Einstein</v>
      </c>
      <c r="E185" s="19" t="e">
        <f>VLOOKUP(C185,[2]PriceList!$C:$D,2,0)</f>
        <v>#N/A</v>
      </c>
      <c r="F185" s="19" t="e">
        <f>VLOOKUP(C185,[3]PriceList!$C:$D,2,0)</f>
        <v>#N/A</v>
      </c>
      <c r="G185" s="19" t="str">
        <f>VLOOKUP(C185,[4]PriceList!$C:$D,2,0)</f>
        <v>Alert</v>
      </c>
      <c r="H185" s="19" t="str">
        <f>VLOOKUP(C185,[6]PriceList!$C:$D,2,0)</f>
        <v>Angad</v>
      </c>
      <c r="I185" s="19" t="str">
        <f>VLOOKUP(C185,[7]PriceList!$C:$D,2,0)</f>
        <v>Tag Sulam</v>
      </c>
      <c r="J185" s="19" t="e">
        <f>VLOOKUP(C185,[5]PriceList!$C:$D,2,0)</f>
        <v>#N/A</v>
      </c>
      <c r="K185" s="18" t="e">
        <f>VLOOKUP(C185,[8]PriceList!$C:$D,2,0)</f>
        <v>#N/A</v>
      </c>
    </row>
    <row r="186" spans="1:11" x14ac:dyDescent="0.3">
      <c r="A186" s="18">
        <v>185</v>
      </c>
      <c r="B186" s="18"/>
      <c r="C186" s="19" t="s">
        <v>134</v>
      </c>
      <c r="D186" s="19" t="e">
        <f>VLOOKUP(C186,[1]PriceList!$C:$D,2,0)</f>
        <v>#N/A</v>
      </c>
      <c r="E186" s="19" t="str">
        <f>VLOOKUP(C186,[2]PriceList!$C:$D,2,0)</f>
        <v>San Per Super</v>
      </c>
      <c r="F186" s="19" t="str">
        <f>VLOOKUP(C186,[3]PriceList!$C:$D,2,0)</f>
        <v>Permax</v>
      </c>
      <c r="G186" s="19" t="str">
        <f>VLOOKUP(C186,[4]PriceList!$C:$D,2,0)</f>
        <v>Aalmetrin</v>
      </c>
      <c r="H186" s="19" t="e">
        <f>VLOOKUP(C186,[6]PriceList!$C:$D,2,0)</f>
        <v>#N/A</v>
      </c>
      <c r="I186" s="19" t="str">
        <f>VLOOKUP(C186,[7]PriceList!$C:$D,2,0)</f>
        <v>Action Super</v>
      </c>
      <c r="J186" s="19" t="e">
        <f>VLOOKUP(C186,[5]PriceList!$C:$D,2,0)</f>
        <v>#N/A</v>
      </c>
      <c r="K186" s="18" t="e">
        <f>VLOOKUP(C186,[8]PriceList!$C:$D,2,0)</f>
        <v>#N/A</v>
      </c>
    </row>
    <row r="187" spans="1:11" x14ac:dyDescent="0.3">
      <c r="A187" s="18">
        <v>186</v>
      </c>
      <c r="B187" s="18"/>
      <c r="C187" s="31" t="s">
        <v>295</v>
      </c>
      <c r="D187" s="19" t="e">
        <f>VLOOKUP(C187,[1]PriceList!$C:$D,2,0)</f>
        <v>#N/A</v>
      </c>
      <c r="E187" s="19" t="e">
        <f>VLOOKUP(C187,[2]PriceList!$C:$D,2,0)</f>
        <v>#N/A</v>
      </c>
      <c r="F187" s="19" t="e">
        <f>VLOOKUP(C187,[3]PriceList!$C:$D,2,0)</f>
        <v>#N/A</v>
      </c>
      <c r="G187" s="19" t="str">
        <f>VLOOKUP(C187,[4]PriceList!$C:$D,2,0)</f>
        <v>Pow</v>
      </c>
      <c r="H187" s="19" t="e">
        <f>VLOOKUP(C187,[6]PriceList!$C:$D,2,0)</f>
        <v>#N/A</v>
      </c>
      <c r="I187" s="19" t="str">
        <f>VLOOKUP(C187,[7]PriceList!$C:$D,2,0)</f>
        <v>Tagsan</v>
      </c>
      <c r="J187" s="19" t="e">
        <f>VLOOKUP(C187,[5]PriceList!$C:$D,2,0)</f>
        <v>#N/A</v>
      </c>
      <c r="K187" s="18" t="e">
        <f>VLOOKUP(C187,[8]PriceList!$C:$D,2,0)</f>
        <v>#N/A</v>
      </c>
    </row>
    <row r="188" spans="1:11" x14ac:dyDescent="0.3">
      <c r="A188" s="18">
        <v>187</v>
      </c>
      <c r="B188" s="18"/>
      <c r="C188" s="19" t="s">
        <v>55</v>
      </c>
      <c r="D188" s="19" t="str">
        <f>VLOOKUP(C188,[1]PriceList!$C:$D,2,0)</f>
        <v>Patronage</v>
      </c>
      <c r="E188" s="19" t="e">
        <f>VLOOKUP(C188,[2]PriceList!$C:$D,2,0)</f>
        <v>#N/A</v>
      </c>
      <c r="F188" s="19" t="e">
        <f>VLOOKUP(C188,[3]PriceList!$C:$D,2,0)</f>
        <v>#N/A</v>
      </c>
      <c r="G188" s="19" t="e">
        <f>VLOOKUP(C188,[4]PriceList!$C:$D,2,0)</f>
        <v>#N/A</v>
      </c>
      <c r="H188" s="19" t="e">
        <f>VLOOKUP(C188,[6]PriceList!$C:$D,2,0)</f>
        <v>#N/A</v>
      </c>
      <c r="I188" s="19" t="e">
        <f>VLOOKUP(C188,[7]PriceList!$C:$D,2,0)</f>
        <v>#N/A</v>
      </c>
      <c r="J188" s="19" t="e">
        <f>VLOOKUP(C188,[5]PriceList!$C:$D,2,0)</f>
        <v>#N/A</v>
      </c>
      <c r="K188" s="18" t="e">
        <f>VLOOKUP(C188,[8]PriceList!$C:$D,2,0)</f>
        <v>#N/A</v>
      </c>
    </row>
    <row r="189" spans="1:11" x14ac:dyDescent="0.3">
      <c r="A189" s="18">
        <v>188</v>
      </c>
      <c r="B189" s="18"/>
      <c r="C189" s="19" t="s">
        <v>57</v>
      </c>
      <c r="D189" s="19" t="str">
        <f>VLOOKUP(C189,[1]PriceList!$C:$D,2,0)</f>
        <v>Patronage top</v>
      </c>
      <c r="E189" s="19" t="e">
        <f>VLOOKUP(C189,[2]PriceList!$C:$D,2,0)</f>
        <v>#N/A</v>
      </c>
      <c r="F189" s="19" t="e">
        <f>VLOOKUP(C189,[3]PriceList!$C:$D,2,0)</f>
        <v>#N/A</v>
      </c>
      <c r="G189" s="19" t="e">
        <f>VLOOKUP(C189,[4]PriceList!$C:$D,2,0)</f>
        <v>#N/A</v>
      </c>
      <c r="H189" s="19" t="e">
        <f>VLOOKUP(C189,[6]PriceList!$C:$D,2,0)</f>
        <v>#N/A</v>
      </c>
      <c r="I189" s="19" t="e">
        <f>VLOOKUP(C189,[7]PriceList!$C:$D,2,0)</f>
        <v>#N/A</v>
      </c>
      <c r="J189" s="19" t="e">
        <f>VLOOKUP(C189,[5]PriceList!$C:$D,2,0)</f>
        <v>#N/A</v>
      </c>
      <c r="K189" s="18" t="e">
        <f>VLOOKUP(C189,[8]PriceList!$C:$D,2,0)</f>
        <v>#N/A</v>
      </c>
    </row>
    <row r="190" spans="1:11" x14ac:dyDescent="0.3">
      <c r="A190" s="18">
        <v>189</v>
      </c>
      <c r="B190" s="18"/>
      <c r="C190" s="19" t="s">
        <v>56</v>
      </c>
      <c r="D190" s="19" t="str">
        <f>VLOOKUP(C190,[1]PriceList!$C:$D,2,0)</f>
        <v>Patronage pro</v>
      </c>
      <c r="E190" s="19" t="e">
        <f>VLOOKUP(C190,[2]PriceList!$C:$D,2,0)</f>
        <v>#N/A</v>
      </c>
      <c r="F190" s="19" t="e">
        <f>VLOOKUP(C190,[3]PriceList!$C:$D,2,0)</f>
        <v>#N/A</v>
      </c>
      <c r="G190" s="19" t="e">
        <f>VLOOKUP(C190,[4]PriceList!$C:$D,2,0)</f>
        <v>#N/A</v>
      </c>
      <c r="H190" s="19" t="e">
        <f>VLOOKUP(C190,[6]PriceList!$C:$D,2,0)</f>
        <v>#N/A</v>
      </c>
      <c r="I190" s="19" t="e">
        <f>VLOOKUP(C190,[7]PriceList!$C:$D,2,0)</f>
        <v>#N/A</v>
      </c>
      <c r="J190" s="19" t="e">
        <f>VLOOKUP(C190,[5]PriceList!$C:$D,2,0)</f>
        <v>#N/A</v>
      </c>
      <c r="K190" s="18" t="e">
        <f>VLOOKUP(C190,[8]PriceList!$C:$D,2,0)</f>
        <v>#N/A</v>
      </c>
    </row>
    <row r="191" spans="1:11" x14ac:dyDescent="0.3">
      <c r="A191" s="18">
        <v>190</v>
      </c>
      <c r="B191" s="18"/>
      <c r="C191" s="28" t="s">
        <v>222</v>
      </c>
      <c r="D191" s="19" t="str">
        <f>VLOOKUP(C191,[1]PriceList!$C:$D,2,0)</f>
        <v>Execution</v>
      </c>
      <c r="E191" s="19" t="e">
        <f>VLOOKUP(C191,[2]PriceList!$C:$D,2,0)</f>
        <v>#N/A</v>
      </c>
      <c r="F191" s="19" t="e">
        <f>VLOOKUP(C191,[3]PriceList!$C:$D,2,0)</f>
        <v>#N/A</v>
      </c>
      <c r="G191" s="19" t="e">
        <f>VLOOKUP(C191,[4]PriceList!$C:$D,2,0)</f>
        <v>#N/A</v>
      </c>
      <c r="H191" s="19" t="e">
        <f>VLOOKUP(C191,[6]PriceList!$C:$D,2,0)</f>
        <v>#N/A</v>
      </c>
      <c r="I191" s="19" t="e">
        <f>VLOOKUP(C191,[7]PriceList!$C:$D,2,0)</f>
        <v>#N/A</v>
      </c>
      <c r="J191" s="19" t="e">
        <f>VLOOKUP(C191,[5]PriceList!$C:$D,2,0)</f>
        <v>#N/A</v>
      </c>
      <c r="K191" s="18" t="e">
        <f>VLOOKUP(C191,[8]PriceList!$C:$D,2,0)</f>
        <v>#N/A</v>
      </c>
    </row>
    <row r="192" spans="1:11" x14ac:dyDescent="0.3">
      <c r="A192" s="18">
        <v>191</v>
      </c>
      <c r="B192" s="18"/>
      <c r="C192" s="29" t="s">
        <v>248</v>
      </c>
      <c r="D192" s="19" t="e">
        <f>VLOOKUP(C192,[1]PriceList!$C:$D,2,0)</f>
        <v>#N/A</v>
      </c>
      <c r="E192" s="19" t="e">
        <f>VLOOKUP(C192,[2]PriceList!$C:$D,2,0)</f>
        <v>#N/A</v>
      </c>
      <c r="F192" s="19" t="e">
        <f>VLOOKUP(C192,[3]PriceList!$C:$D,2,0)</f>
        <v>#N/A</v>
      </c>
      <c r="G192" s="19" t="e">
        <f>VLOOKUP(C192,[4]PriceList!$C:$D,2,0)</f>
        <v>#N/A</v>
      </c>
      <c r="H192" s="19" t="e">
        <f>VLOOKUP(C192,[6]PriceList!$C:$D,2,0)</f>
        <v>#N/A</v>
      </c>
      <c r="I192" s="19" t="e">
        <f>VLOOKUP(C192,[7]PriceList!$C:$D,2,0)</f>
        <v>#N/A</v>
      </c>
      <c r="J192" s="19" t="e">
        <f>VLOOKUP(C192,[5]PriceList!$C:$D,2,0)</f>
        <v>#N/A</v>
      </c>
      <c r="K192" s="18" t="str">
        <f>VLOOKUP(C192,[8]PriceList!$C:$D,2,0)</f>
        <v>Crazy Pro</v>
      </c>
    </row>
    <row r="193" spans="1:11" x14ac:dyDescent="0.3">
      <c r="A193" s="18">
        <v>192</v>
      </c>
      <c r="B193" s="18"/>
      <c r="C193" s="31" t="s">
        <v>312</v>
      </c>
      <c r="D193" s="19" t="e">
        <f>VLOOKUP(C193,[1]PriceList!$C:$D,2,0)</f>
        <v>#N/A</v>
      </c>
      <c r="E193" s="19" t="e">
        <f>VLOOKUP(C193,[2]PriceList!$C:$D,2,0)</f>
        <v>#N/A</v>
      </c>
      <c r="F193" s="19" t="e">
        <f>VLOOKUP(C193,[3]PriceList!$C:$D,2,0)</f>
        <v>#N/A</v>
      </c>
      <c r="G193" s="19" t="e">
        <f>VLOOKUP(C193,[4]PriceList!$C:$D,2,0)</f>
        <v>#N/A</v>
      </c>
      <c r="H193" s="19" t="e">
        <f>VLOOKUP(C193,[6]PriceList!$C:$D,2,0)</f>
        <v>#N/A</v>
      </c>
      <c r="I193" s="19" t="str">
        <f>VLOOKUP(C193,[7]PriceList!$C:$D,2,0)</f>
        <v>K-Potash</v>
      </c>
      <c r="J193" s="19" t="e">
        <f>VLOOKUP(C193,[5]PriceList!$C:$D,2,0)</f>
        <v>#N/A</v>
      </c>
      <c r="K193" s="18" t="e">
        <f>VLOOKUP(C193,[8]PriceList!$C:$D,2,0)</f>
        <v>#N/A</v>
      </c>
    </row>
    <row r="194" spans="1:11" x14ac:dyDescent="0.3">
      <c r="A194" s="18">
        <v>193</v>
      </c>
      <c r="B194" s="18"/>
      <c r="C194" s="31" t="s">
        <v>310</v>
      </c>
      <c r="D194" s="19" t="e">
        <f>VLOOKUP(C194,[1]PriceList!$C:$D,2,0)</f>
        <v>#N/A</v>
      </c>
      <c r="E194" s="19" t="e">
        <f>VLOOKUP(C194,[2]PriceList!$C:$D,2,0)</f>
        <v>#N/A</v>
      </c>
      <c r="F194" s="19" t="e">
        <f>VLOOKUP(C194,[3]PriceList!$C:$D,2,0)</f>
        <v>#N/A</v>
      </c>
      <c r="G194" s="19" t="e">
        <f>VLOOKUP(C194,[4]PriceList!$C:$D,2,0)</f>
        <v>#N/A</v>
      </c>
      <c r="H194" s="19" t="e">
        <f>VLOOKUP(C194,[6]PriceList!$C:$D,2,0)</f>
        <v>#N/A</v>
      </c>
      <c r="I194" s="19" t="str">
        <f>VLOOKUP(C194,[7]PriceList!$C:$D,2,0)</f>
        <v>Tag K 20</v>
      </c>
      <c r="J194" s="19" t="e">
        <f>VLOOKUP(C194,[5]PriceList!$C:$D,2,0)</f>
        <v>#N/A</v>
      </c>
      <c r="K194" s="18" t="e">
        <f>VLOOKUP(C194,[8]PriceList!$C:$D,2,0)</f>
        <v>#N/A</v>
      </c>
    </row>
    <row r="195" spans="1:11" x14ac:dyDescent="0.3">
      <c r="A195" s="18">
        <v>194</v>
      </c>
      <c r="B195" s="18"/>
      <c r="C195" s="31" t="s">
        <v>313</v>
      </c>
      <c r="D195" s="19" t="e">
        <f>VLOOKUP(C195,[1]PriceList!$C:$D,2,0)</f>
        <v>#N/A</v>
      </c>
      <c r="E195" s="19" t="e">
        <f>VLOOKUP(C195,[2]PriceList!$C:$D,2,0)</f>
        <v>#N/A</v>
      </c>
      <c r="F195" s="19" t="e">
        <f>VLOOKUP(C195,[3]PriceList!$C:$D,2,0)</f>
        <v>#N/A</v>
      </c>
      <c r="G195" s="19" t="e">
        <f>VLOOKUP(C195,[4]PriceList!$C:$D,2,0)</f>
        <v>#N/A</v>
      </c>
      <c r="H195" s="19" t="e">
        <f>VLOOKUP(C195,[6]PriceList!$C:$D,2,0)</f>
        <v>#N/A</v>
      </c>
      <c r="I195" s="19" t="str">
        <f>VLOOKUP(C195,[7]PriceList!$C:$D,2,0)</f>
        <v>Tag Neo Potash</v>
      </c>
      <c r="J195" s="19" t="e">
        <f>VLOOKUP(C195,[5]PriceList!$C:$D,2,0)</f>
        <v>#N/A</v>
      </c>
      <c r="K195" s="18" t="e">
        <f>VLOOKUP(C195,[8]PriceList!$C:$D,2,0)</f>
        <v>#N/A</v>
      </c>
    </row>
    <row r="196" spans="1:11" x14ac:dyDescent="0.3">
      <c r="A196" s="18">
        <v>195</v>
      </c>
      <c r="B196" s="18"/>
      <c r="C196" s="19" t="s">
        <v>95</v>
      </c>
      <c r="D196" s="19" t="str">
        <f>VLOOKUP(C196,[1]PriceList!$C:$D,2,0)</f>
        <v>Hobbit h2o</v>
      </c>
      <c r="E196" s="19" t="e">
        <f>VLOOKUP(C196,[2]PriceList!$C:$D,2,0)</f>
        <v>#N/A</v>
      </c>
      <c r="F196" s="19" t="e">
        <f>VLOOKUP(C196,[3]PriceList!$C:$D,2,0)</f>
        <v>#N/A</v>
      </c>
      <c r="G196" s="19" t="str">
        <f>VLOOKUP(C196,[4]PriceList!$C:$D,2,0)</f>
        <v>Preti</v>
      </c>
      <c r="H196" s="19" t="e">
        <f>VLOOKUP(C196,[6]PriceList!$C:$D,2,0)</f>
        <v>#N/A</v>
      </c>
      <c r="I196" s="19" t="str">
        <f>VLOOKUP(C196,[7]PriceList!$C:$D,2,0)</f>
        <v>Taghit Super</v>
      </c>
      <c r="J196" s="19" t="e">
        <f>VLOOKUP(C196,[5]PriceList!$C:$D,2,0)</f>
        <v>#N/A</v>
      </c>
      <c r="K196" s="18" t="e">
        <f>VLOOKUP(C196,[8]PriceList!$C:$D,2,0)</f>
        <v>#N/A</v>
      </c>
    </row>
    <row r="197" spans="1:11" x14ac:dyDescent="0.3">
      <c r="A197" s="18">
        <v>196</v>
      </c>
      <c r="B197" s="18"/>
      <c r="C197" s="19" t="s">
        <v>94</v>
      </c>
      <c r="D197" s="19" t="str">
        <f>VLOOKUP(C197,[1]PriceList!$C:$D,2,0)</f>
        <v>Hobbit</v>
      </c>
      <c r="E197" s="19" t="str">
        <f>VLOOKUP(C197,[2]PriceList!$C:$D,2,0)</f>
        <v>Rofit 50% Ec</v>
      </c>
      <c r="F197" s="19" t="str">
        <f>VLOOKUP(C197,[3]PriceList!$C:$D,2,0)</f>
        <v>Pretax</v>
      </c>
      <c r="G197" s="19" t="str">
        <f>VLOOKUP(C197,[4]PriceList!$C:$D,2,0)</f>
        <v>Aalprit</v>
      </c>
      <c r="H197" s="19" t="str">
        <f>VLOOKUP(C197,[6]PriceList!$C:$D,2,0)</f>
        <v>Errant</v>
      </c>
      <c r="I197" s="19" t="str">
        <f>VLOOKUP(C197,[7]PriceList!$C:$D,2,0)</f>
        <v>Taghit</v>
      </c>
      <c r="J197" s="19" t="str">
        <f>VLOOKUP(C197,[5]PriceList!$C:$D,2,0)</f>
        <v>Primpton</v>
      </c>
      <c r="K197" s="18" t="str">
        <f>VLOOKUP(C197,[8]PriceList!$C:$D,2,0)</f>
        <v>Sickle</v>
      </c>
    </row>
    <row r="198" spans="1:11" x14ac:dyDescent="0.3">
      <c r="A198" s="18">
        <v>197</v>
      </c>
      <c r="B198" s="18"/>
      <c r="C198" s="19" t="s">
        <v>227</v>
      </c>
      <c r="D198" s="19" t="str">
        <f>VLOOKUP(C198,[1]PriceList!$C:$D,2,0)</f>
        <v>Street fighter</v>
      </c>
      <c r="E198" s="19" t="e">
        <f>VLOOKUP(C198,[2]PriceList!$C:$D,2,0)</f>
        <v>#N/A</v>
      </c>
      <c r="F198" s="19" t="e">
        <f>VLOOKUP(C198,[3]PriceList!$C:$D,2,0)</f>
        <v>#N/A</v>
      </c>
      <c r="G198" s="19" t="e">
        <f>VLOOKUP(C198,[4]PriceList!$C:$D,2,0)</f>
        <v>#N/A</v>
      </c>
      <c r="H198" s="19" t="e">
        <f>VLOOKUP(C198,[6]PriceList!$C:$D,2,0)</f>
        <v>#N/A</v>
      </c>
      <c r="I198" s="19" t="str">
        <f>VLOOKUP(C198,[7]PriceList!$C:$D,2,0)</f>
        <v>Bond-X-Powder</v>
      </c>
      <c r="J198" s="19" t="e">
        <f>VLOOKUP(C198,[5]PriceList!$C:$D,2,0)</f>
        <v>#N/A</v>
      </c>
      <c r="K198" s="18" t="e">
        <f>VLOOKUP(C198,[8]PriceList!$C:$D,2,0)</f>
        <v>#N/A</v>
      </c>
    </row>
    <row r="199" spans="1:11" x14ac:dyDescent="0.3">
      <c r="A199" s="18">
        <v>198</v>
      </c>
      <c r="B199" s="18"/>
      <c r="C199" s="19" t="s">
        <v>46</v>
      </c>
      <c r="D199" s="19" t="str">
        <f>VLOOKUP(C199,[1]PriceList!$C:$D,2,0)</f>
        <v>License 99</v>
      </c>
      <c r="E199" s="19" t="str">
        <f>VLOOKUP(C199,[2]PriceList!$C:$D,2,0)</f>
        <v>Sancyprof 4</v>
      </c>
      <c r="F199" s="19" t="str">
        <f>VLOOKUP(C199,[3]PriceList!$C:$D,2,0)</f>
        <v>Proxy Plus</v>
      </c>
      <c r="G199" s="19" t="str">
        <f>VLOOKUP(C199,[4]PriceList!$C:$D,2,0)</f>
        <v>Stroke</v>
      </c>
      <c r="H199" s="19" t="str">
        <f>VLOOKUP(C199,[6]PriceList!$C:$D,2,0)</f>
        <v>Proceed Plus</v>
      </c>
      <c r="I199" s="19" t="str">
        <f>VLOOKUP(C199,[7]PriceList!$C:$D,2,0)</f>
        <v>Pataka</v>
      </c>
      <c r="J199" s="19" t="str">
        <f>VLOOKUP(C199,[5]PriceList!$C:$D,2,0)</f>
        <v>Profect Super</v>
      </c>
      <c r="K199" s="18" t="str">
        <f>VLOOKUP(C199,[8]PriceList!$C:$D,2,0)</f>
        <v>Sarpanch</v>
      </c>
    </row>
    <row r="200" spans="1:11" x14ac:dyDescent="0.3">
      <c r="A200" s="18">
        <v>199</v>
      </c>
      <c r="B200" s="18"/>
      <c r="C200" s="19" t="s">
        <v>123</v>
      </c>
      <c r="D200" s="19" t="e">
        <f>VLOOKUP(C200,[1]PriceList!$C:$D,2,0)</f>
        <v>#N/A</v>
      </c>
      <c r="E200" s="19" t="str">
        <f>VLOOKUP(C200,[2]PriceList!$C:$D,2,0)</f>
        <v>Sanpro 50</v>
      </c>
      <c r="F200" s="19" t="e">
        <f>VLOOKUP(C200,[3]PriceList!$C:$D,2,0)</f>
        <v>#N/A</v>
      </c>
      <c r="G200" s="19" t="str">
        <f>VLOOKUP(C200,[4]PriceList!$C:$D,2,0)</f>
        <v>Attack</v>
      </c>
      <c r="H200" s="19" t="e">
        <f>VLOOKUP(C200,[6]PriceList!$C:$D,2,0)</f>
        <v>#N/A</v>
      </c>
      <c r="I200" s="19" t="str">
        <f>VLOOKUP(C200,[7]PriceList!$C:$D,2,0)</f>
        <v>Tagpro</v>
      </c>
      <c r="J200" s="19" t="e">
        <f>VLOOKUP(C200,[5]PriceList!$C:$D,2,0)</f>
        <v>#N/A</v>
      </c>
      <c r="K200" s="18" t="str">
        <f>VLOOKUP(C200,[8]PriceList!$C:$D,2,0)</f>
        <v>Simcron</v>
      </c>
    </row>
    <row r="201" spans="1:11" x14ac:dyDescent="0.3">
      <c r="A201" s="18">
        <v>200</v>
      </c>
      <c r="B201" s="18"/>
      <c r="C201" s="19" t="s">
        <v>93</v>
      </c>
      <c r="D201" s="19" t="str">
        <f>VLOOKUP(C201,[1]PriceList!$C:$D,2,0)</f>
        <v>Hatori super</v>
      </c>
      <c r="E201" s="19" t="e">
        <f>VLOOKUP(C201,[2]PriceList!$C:$D,2,0)</f>
        <v>#N/A</v>
      </c>
      <c r="F201" s="19" t="e">
        <f>VLOOKUP(C201,[3]PriceList!$C:$D,2,0)</f>
        <v>#N/A</v>
      </c>
      <c r="G201" s="19" t="e">
        <f>VLOOKUP(C201,[4]PriceList!$C:$D,2,0)</f>
        <v>#N/A</v>
      </c>
      <c r="H201" s="19" t="e">
        <f>VLOOKUP(C201,[6]PriceList!$C:$D,2,0)</f>
        <v>#N/A</v>
      </c>
      <c r="I201" s="19" t="e">
        <f>VLOOKUP(C201,[7]PriceList!$C:$D,2,0)</f>
        <v>#N/A</v>
      </c>
      <c r="J201" s="19" t="e">
        <f>VLOOKUP(C201,[5]PriceList!$C:$D,2,0)</f>
        <v>#N/A</v>
      </c>
      <c r="K201" s="18" t="e">
        <f>VLOOKUP(C201,[8]PriceList!$C:$D,2,0)</f>
        <v>#N/A</v>
      </c>
    </row>
    <row r="202" spans="1:11" x14ac:dyDescent="0.3">
      <c r="A202" s="18">
        <v>201</v>
      </c>
      <c r="B202" s="18"/>
      <c r="C202" s="19" t="s">
        <v>108</v>
      </c>
      <c r="D202" s="19" t="str">
        <f>VLOOKUP(C202,[1]PriceList!$C:$D,2,0)</f>
        <v>Propagate</v>
      </c>
      <c r="E202" s="19" t="e">
        <f>VLOOKUP(C202,[2]PriceList!$C:$D,2,0)</f>
        <v>#N/A</v>
      </c>
      <c r="F202" s="19" t="e">
        <f>VLOOKUP(C202,[3]PriceList!$C:$D,2,0)</f>
        <v>#N/A</v>
      </c>
      <c r="G202" s="19" t="str">
        <f>VLOOKUP(C202,[4]PriceList!$C:$D,2,0)</f>
        <v>Vigil</v>
      </c>
      <c r="H202" s="19" t="e">
        <f>VLOOKUP(C202,[6]PriceList!$C:$D,2,0)</f>
        <v>#N/A</v>
      </c>
      <c r="I202" s="19" t="e">
        <f>VLOOKUP(C202,[7]PriceList!$C:$D,2,0)</f>
        <v>#N/A</v>
      </c>
      <c r="J202" s="19" t="e">
        <f>VLOOKUP(C202,[5]PriceList!$C:$D,2,0)</f>
        <v>#N/A</v>
      </c>
      <c r="K202" s="18" t="e">
        <f>VLOOKUP(C202,[8]PriceList!$C:$D,2,0)</f>
        <v>#N/A</v>
      </c>
    </row>
    <row r="203" spans="1:11" x14ac:dyDescent="0.3">
      <c r="A203" s="18">
        <v>202</v>
      </c>
      <c r="B203" s="18"/>
      <c r="C203" s="28" t="s">
        <v>265</v>
      </c>
      <c r="D203" s="19" t="e">
        <f>VLOOKUP(C203,[1]PriceList!$C:$D,2,0)</f>
        <v>#N/A</v>
      </c>
      <c r="E203" s="19" t="e">
        <f>VLOOKUP(C203,[2]PriceList!$C:$D,2,0)</f>
        <v>#N/A</v>
      </c>
      <c r="F203" s="19" t="e">
        <f>VLOOKUP(C203,[3]PriceList!$C:$D,2,0)</f>
        <v>#N/A</v>
      </c>
      <c r="G203" s="19" t="e">
        <f>VLOOKUP(C203,[4]PriceList!$C:$D,2,0)</f>
        <v>#N/A</v>
      </c>
      <c r="H203" s="19" t="e">
        <f>VLOOKUP(C203,[6]PriceList!$C:$D,2,0)</f>
        <v>#N/A</v>
      </c>
      <c r="I203" s="19" t="e">
        <f>VLOOKUP(C203,[7]PriceList!$C:$D,2,0)</f>
        <v>#N/A</v>
      </c>
      <c r="J203" s="19" t="e">
        <f>VLOOKUP(C203,[5]PriceList!$C:$D,2,0)</f>
        <v>#N/A</v>
      </c>
      <c r="K203" s="18" t="str">
        <f>VLOOKUP(C203,[8]PriceList!$C:$D,2,0)</f>
        <v>Aireth</v>
      </c>
    </row>
    <row r="204" spans="1:11" x14ac:dyDescent="0.3">
      <c r="A204" s="18">
        <v>203</v>
      </c>
      <c r="B204" s="18"/>
      <c r="C204" s="19" t="s">
        <v>88</v>
      </c>
      <c r="D204" s="19" t="str">
        <f>VLOOKUP(C204,[1]PriceList!$C:$D,2,0)</f>
        <v>Osaka super</v>
      </c>
      <c r="E204" s="19" t="e">
        <f>VLOOKUP(C204,[2]PriceList!$C:$D,2,0)</f>
        <v>#N/A</v>
      </c>
      <c r="F204" s="19" t="e">
        <f>VLOOKUP(C204,[3]PriceList!$C:$D,2,0)</f>
        <v>#N/A</v>
      </c>
      <c r="G204" s="19" t="e">
        <f>VLOOKUP(C204,[4]PriceList!$C:$D,2,0)</f>
        <v>#N/A</v>
      </c>
      <c r="H204" s="19" t="e">
        <f>VLOOKUP(C204,[6]PriceList!$C:$D,2,0)</f>
        <v>#N/A</v>
      </c>
      <c r="I204" s="19" t="e">
        <f>VLOOKUP(C204,[7]PriceList!$C:$D,2,0)</f>
        <v>#N/A</v>
      </c>
      <c r="J204" s="19" t="e">
        <f>VLOOKUP(C204,[5]PriceList!$C:$D,2,0)</f>
        <v>#N/A</v>
      </c>
      <c r="K204" s="18" t="e">
        <f>VLOOKUP(C204,[8]PriceList!$C:$D,2,0)</f>
        <v>#N/A</v>
      </c>
    </row>
    <row r="205" spans="1:11" x14ac:dyDescent="0.3">
      <c r="A205" s="18">
        <v>204</v>
      </c>
      <c r="B205" s="18"/>
      <c r="C205" s="19" t="s">
        <v>39</v>
      </c>
      <c r="D205" s="19" t="str">
        <f>VLOOKUP(C205,[1]PriceList!$C:$D,2,0)</f>
        <v>Ichimite</v>
      </c>
      <c r="E205" s="19" t="e">
        <f>VLOOKUP(C205,[2]PriceList!$C:$D,2,0)</f>
        <v>#N/A</v>
      </c>
      <c r="F205" s="19" t="e">
        <f>VLOOKUP(C205,[3]PriceList!$C:$D,2,0)</f>
        <v>#N/A</v>
      </c>
      <c r="G205" s="19" t="str">
        <f>VLOOKUP(C205,[4]PriceList!$C:$D,2,0)</f>
        <v>Kilmite</v>
      </c>
      <c r="H205" s="19" t="e">
        <f>VLOOKUP(C205,[6]PriceList!$C:$D,2,0)</f>
        <v>#N/A</v>
      </c>
      <c r="I205" s="19" t="str">
        <f>VLOOKUP(C205,[7]PriceList!$C:$D,2,0)</f>
        <v>Tag Nomite</v>
      </c>
      <c r="J205" s="19" t="str">
        <f>VLOOKUP(C205,[5]PriceList!$C:$D,2,0)</f>
        <v>Progite</v>
      </c>
      <c r="K205" s="18" t="e">
        <f>VLOOKUP(C205,[8]PriceList!$C:$D,2,0)</f>
        <v>#N/A</v>
      </c>
    </row>
    <row r="206" spans="1:11" x14ac:dyDescent="0.3">
      <c r="A206" s="18">
        <v>205</v>
      </c>
      <c r="B206" s="18"/>
      <c r="C206" s="27" t="s">
        <v>264</v>
      </c>
      <c r="D206" s="19" t="e">
        <f>VLOOKUP(C206,[1]PriceList!$C:$D,2,0)</f>
        <v>#N/A</v>
      </c>
      <c r="E206" s="19" t="e">
        <f>VLOOKUP(C206,[2]PriceList!$C:$D,2,0)</f>
        <v>#N/A</v>
      </c>
      <c r="F206" s="19" t="e">
        <f>VLOOKUP(C206,[3]PriceList!$C:$D,2,0)</f>
        <v>#N/A</v>
      </c>
      <c r="G206" s="19" t="e">
        <f>VLOOKUP(C206,[4]PriceList!$C:$D,2,0)</f>
        <v>#N/A</v>
      </c>
      <c r="H206" s="19" t="e">
        <f>VLOOKUP(C206,[6]PriceList!$C:$D,2,0)</f>
        <v>#N/A</v>
      </c>
      <c r="I206" s="19" t="e">
        <f>VLOOKUP(C206,[7]PriceList!$C:$D,2,0)</f>
        <v>#N/A</v>
      </c>
      <c r="J206" s="19" t="e">
        <f>VLOOKUP(C206,[5]PriceList!$C:$D,2,0)</f>
        <v>#N/A</v>
      </c>
      <c r="K206" s="18" t="str">
        <f>VLOOKUP(C206,[8]PriceList!$C:$D,2,0)</f>
        <v>Vespa</v>
      </c>
    </row>
    <row r="207" spans="1:11" x14ac:dyDescent="0.3">
      <c r="A207" s="18">
        <v>206</v>
      </c>
      <c r="B207" s="18"/>
      <c r="C207" s="19" t="s">
        <v>146</v>
      </c>
      <c r="D207" s="19" t="e">
        <f>VLOOKUP(C207,[1]PriceList!$C:$D,2,0)</f>
        <v>#N/A</v>
      </c>
      <c r="E207" s="19" t="str">
        <f>VLOOKUP(C207,[2]PriceList!$C:$D,2,0)</f>
        <v>San Propi</v>
      </c>
      <c r="F207" s="19" t="e">
        <f>VLOOKUP(C207,[3]PriceList!$C:$D,2,0)</f>
        <v>#N/A</v>
      </c>
      <c r="G207" s="19" t="str">
        <f>VLOOKUP(C207,[4]PriceList!$C:$D,2,0)</f>
        <v>Aalzole</v>
      </c>
      <c r="H207" s="19" t="str">
        <f>VLOOKUP(C207,[6]PriceList!$C:$D,2,0)</f>
        <v>Remote</v>
      </c>
      <c r="I207" s="19" t="str">
        <f>VLOOKUP(C207,[7]PriceList!$C:$D,2,0)</f>
        <v>Tagzole</v>
      </c>
      <c r="J207" s="19" t="str">
        <f>VLOOKUP(C207,[5]PriceList!$C:$D,2,0)</f>
        <v>Trinket</v>
      </c>
      <c r="K207" s="18" t="str">
        <f>VLOOKUP(C207,[8]PriceList!$C:$D,2,0)</f>
        <v>Final</v>
      </c>
    </row>
    <row r="208" spans="1:11" x14ac:dyDescent="0.3">
      <c r="A208" s="18">
        <v>207</v>
      </c>
      <c r="B208" s="18"/>
      <c r="C208" s="19" t="s">
        <v>180</v>
      </c>
      <c r="D208" s="19" t="str">
        <f>VLOOKUP(C208,[1]PriceList!$C:$D,2,0)</f>
        <v>Diksha</v>
      </c>
      <c r="E208" s="19" t="str">
        <f>VLOOKUP(C208,[2]PriceList!$C:$D,2,0)</f>
        <v>San Prop</v>
      </c>
      <c r="F208" s="19" t="e">
        <f>VLOOKUP(C208,[3]PriceList!$C:$D,2,0)</f>
        <v>#N/A</v>
      </c>
      <c r="G208" s="19" t="str">
        <f>VLOOKUP(C208,[4]PriceList!$C:$D,2,0)</f>
        <v>Aalcol</v>
      </c>
      <c r="H208" s="19" t="e">
        <f>VLOOKUP(C208,[6]PriceList!$C:$D,2,0)</f>
        <v>#N/A</v>
      </c>
      <c r="I208" s="19" t="str">
        <f>VLOOKUP(C208,[7]PriceList!$C:$D,2,0)</f>
        <v>Tagcol</v>
      </c>
      <c r="J208" s="19" t="str">
        <f>VLOOKUP(C208,[5]PriceList!$C:$D,2,0)</f>
        <v>Valet</v>
      </c>
      <c r="K208" s="18" t="e">
        <f>VLOOKUP(C208,[8]PriceList!$C:$D,2,0)</f>
        <v>#N/A</v>
      </c>
    </row>
    <row r="209" spans="1:11" x14ac:dyDescent="0.3">
      <c r="A209" s="18">
        <v>208</v>
      </c>
      <c r="B209" s="18"/>
      <c r="C209" s="31" t="s">
        <v>309</v>
      </c>
      <c r="D209" s="19" t="e">
        <f>VLOOKUP(C209,[1]PriceList!$C:$D,2,0)</f>
        <v>#N/A</v>
      </c>
      <c r="E209" s="19" t="e">
        <f>VLOOKUP(C209,[2]PriceList!$C:$D,2,0)</f>
        <v>#N/A</v>
      </c>
      <c r="F209" s="19" t="e">
        <f>VLOOKUP(C209,[3]PriceList!$C:$D,2,0)</f>
        <v>#N/A</v>
      </c>
      <c r="G209" s="19" t="e">
        <f>VLOOKUP(C209,[4]PriceList!$C:$D,2,0)</f>
        <v>#N/A</v>
      </c>
      <c r="H209" s="19" t="e">
        <f>VLOOKUP(C209,[6]PriceList!$C:$D,2,0)</f>
        <v>#N/A</v>
      </c>
      <c r="I209" s="19" t="str">
        <f>VLOOKUP(C209,[7]PriceList!$C:$D,2,0)</f>
        <v>Tag Carb-N</v>
      </c>
      <c r="J209" s="19" t="e">
        <f>VLOOKUP(C209,[5]PriceList!$C:$D,2,0)</f>
        <v>#N/A</v>
      </c>
      <c r="K209" s="18" t="e">
        <f>VLOOKUP(C209,[8]PriceList!$C:$D,2,0)</f>
        <v>#N/A</v>
      </c>
    </row>
    <row r="210" spans="1:11" x14ac:dyDescent="0.3">
      <c r="A210" s="18">
        <v>209</v>
      </c>
      <c r="B210" s="18"/>
      <c r="C210" s="31" t="s">
        <v>296</v>
      </c>
      <c r="D210" s="19" t="e">
        <f>VLOOKUP(C210,[1]PriceList!$C:$D,2,0)</f>
        <v>#N/A</v>
      </c>
      <c r="E210" s="19" t="e">
        <f>VLOOKUP(C210,[2]PriceList!$C:$D,2,0)</f>
        <v>#N/A</v>
      </c>
      <c r="F210" s="19" t="e">
        <f>VLOOKUP(C210,[3]PriceList!$C:$D,2,0)</f>
        <v>#N/A</v>
      </c>
      <c r="G210" s="19" t="e">
        <f>VLOOKUP(C210,[4]PriceList!$C:$D,2,0)</f>
        <v>#N/A</v>
      </c>
      <c r="H210" s="19" t="e">
        <f>VLOOKUP(C210,[6]PriceList!$C:$D,2,0)</f>
        <v>#N/A</v>
      </c>
      <c r="I210" s="19" t="str">
        <f>VLOOKUP(C210,[7]PriceList!$C:$D,2,0)</f>
        <v>Tag Carb-N</v>
      </c>
      <c r="J210" s="19" t="e">
        <f>VLOOKUP(C210,[5]PriceList!$C:$D,2,0)</f>
        <v>#N/A</v>
      </c>
      <c r="K210" s="18" t="e">
        <f>VLOOKUP(C210,[8]PriceList!$C:$D,2,0)</f>
        <v>#N/A</v>
      </c>
    </row>
    <row r="211" spans="1:11" x14ac:dyDescent="0.3">
      <c r="A211" s="18">
        <v>210</v>
      </c>
      <c r="B211" s="18"/>
      <c r="C211" s="31" t="s">
        <v>317</v>
      </c>
      <c r="D211" s="19" t="e">
        <f>VLOOKUP(C211,[1]PriceList!$C:$D,2,0)</f>
        <v>#N/A</v>
      </c>
      <c r="E211" s="19" t="e">
        <f>VLOOKUP(C211,[2]PriceList!$C:$D,2,0)</f>
        <v>#N/A</v>
      </c>
      <c r="F211" s="19" t="e">
        <f>VLOOKUP(C211,[3]PriceList!$C:$D,2,0)</f>
        <v>#N/A</v>
      </c>
      <c r="G211" s="19" t="e">
        <f>VLOOKUP(C211,[4]PriceList!$C:$D,2,0)</f>
        <v>#N/A</v>
      </c>
      <c r="H211" s="19" t="e">
        <f>VLOOKUP(C211,[6]PriceList!$C:$D,2,0)</f>
        <v>#N/A</v>
      </c>
      <c r="I211" s="19" t="str">
        <f>VLOOKUP(C211,[7]PriceList!$C:$D,2,0)</f>
        <v>Tagmonas</v>
      </c>
      <c r="J211" s="19" t="e">
        <f>VLOOKUP(C211,[5]PriceList!$C:$D,2,0)</f>
        <v>#N/A</v>
      </c>
      <c r="K211" s="18" t="e">
        <f>VLOOKUP(C211,[8]PriceList!$C:$D,2,0)</f>
        <v>#N/A</v>
      </c>
    </row>
    <row r="212" spans="1:11" x14ac:dyDescent="0.3">
      <c r="A212" s="18">
        <v>211</v>
      </c>
      <c r="B212" s="18"/>
      <c r="C212" s="27" t="s">
        <v>247</v>
      </c>
      <c r="D212" s="19" t="e">
        <f>VLOOKUP(C212,[1]PriceList!$C:$D,2,0)</f>
        <v>#N/A</v>
      </c>
      <c r="E212" s="19" t="e">
        <f>VLOOKUP(C212,[2]PriceList!$C:$D,2,0)</f>
        <v>#N/A</v>
      </c>
      <c r="F212" s="19" t="e">
        <f>VLOOKUP(C212,[3]PriceList!$C:$D,2,0)</f>
        <v>#N/A</v>
      </c>
      <c r="G212" s="19" t="e">
        <f>VLOOKUP(C212,[4]PriceList!$C:$D,2,0)</f>
        <v>#N/A</v>
      </c>
      <c r="H212" s="19" t="e">
        <f>VLOOKUP(C212,[6]PriceList!$C:$D,2,0)</f>
        <v>#N/A</v>
      </c>
      <c r="I212" s="19" t="e">
        <f>VLOOKUP(C212,[7]PriceList!$C:$D,2,0)</f>
        <v>#N/A</v>
      </c>
      <c r="J212" s="19" t="e">
        <f>VLOOKUP(C212,[5]PriceList!$C:$D,2,0)</f>
        <v>#N/A</v>
      </c>
      <c r="K212" s="18" t="str">
        <f>VLOOKUP(C212,[8]PriceList!$C:$D,2,0)</f>
        <v>Afford</v>
      </c>
    </row>
    <row r="213" spans="1:11" x14ac:dyDescent="0.3">
      <c r="A213" s="18">
        <v>212</v>
      </c>
      <c r="B213" s="18"/>
      <c r="C213" s="19" t="s">
        <v>24</v>
      </c>
      <c r="D213" s="19" t="str">
        <f>VLOOKUP(C213,[1]PriceList!$C:$D,2,0)</f>
        <v>Chausath</v>
      </c>
      <c r="E213" s="19" t="str">
        <f>VLOOKUP(C213,[2]PriceList!$C:$D,2,0)</f>
        <v>Mezine</v>
      </c>
      <c r="F213" s="19" t="str">
        <f>VLOOKUP(C213,[3]PriceList!$C:$D,2,0)</f>
        <v>Champ Super</v>
      </c>
      <c r="G213" s="19" t="str">
        <f>VLOOKUP(C213,[4]PriceList!$C:$D,2,0)</f>
        <v>Aal Oscar</v>
      </c>
      <c r="H213" s="19" t="str">
        <f>VLOOKUP(C213,[6]PriceList!$C:$D,2,0)</f>
        <v>Fatal</v>
      </c>
      <c r="I213" s="19" t="str">
        <f>VLOOKUP(C213,[7]PriceList!$C:$D,2,0)</f>
        <v>Tag Champ</v>
      </c>
      <c r="J213" s="19" t="str">
        <f>VLOOKUP(C213,[5]PriceList!$C:$D,2,0)</f>
        <v>Meass</v>
      </c>
      <c r="K213" s="18" t="str">
        <f>VLOOKUP(C213,[8]PriceList!$C:$D,2,0)</f>
        <v>Across X</v>
      </c>
    </row>
    <row r="214" spans="1:11" x14ac:dyDescent="0.3">
      <c r="A214" s="18">
        <v>213</v>
      </c>
      <c r="B214" s="18"/>
      <c r="C214" s="27" t="s">
        <v>260</v>
      </c>
      <c r="D214" s="19" t="e">
        <f>VLOOKUP(C214,[1]PriceList!$C:$D,2,0)</f>
        <v>#N/A</v>
      </c>
      <c r="E214" s="19" t="e">
        <f>VLOOKUP(C214,[2]PriceList!$C:$D,2,0)</f>
        <v>#N/A</v>
      </c>
      <c r="F214" s="19" t="e">
        <f>VLOOKUP(C214,[3]PriceList!$C:$D,2,0)</f>
        <v>#N/A</v>
      </c>
      <c r="G214" s="19" t="e">
        <f>VLOOKUP(C214,[4]PriceList!$C:$D,2,0)</f>
        <v>#N/A</v>
      </c>
      <c r="H214" s="19" t="e">
        <f>VLOOKUP(C214,[6]PriceList!$C:$D,2,0)</f>
        <v>#N/A</v>
      </c>
      <c r="I214" s="19" t="e">
        <f>VLOOKUP(C214,[7]PriceList!$C:$D,2,0)</f>
        <v>#N/A</v>
      </c>
      <c r="J214" s="19" t="e">
        <f>VLOOKUP(C214,[5]PriceList!$C:$D,2,0)</f>
        <v>#N/A</v>
      </c>
      <c r="K214" s="18" t="str">
        <f>VLOOKUP(C214,[8]PriceList!$C:$D,2,0)</f>
        <v>PCT-410</v>
      </c>
    </row>
    <row r="215" spans="1:11" x14ac:dyDescent="0.3">
      <c r="A215" s="18">
        <v>214</v>
      </c>
      <c r="B215" s="18"/>
      <c r="C215" s="19" t="s">
        <v>58</v>
      </c>
      <c r="D215" s="19" t="str">
        <f>VLOOKUP(C215,[1]PriceList!$C:$D,2,0)</f>
        <v>Chowkidar</v>
      </c>
      <c r="E215" s="19" t="e">
        <f>VLOOKUP(C215,[2]PriceList!$C:$D,2,0)</f>
        <v>#N/A</v>
      </c>
      <c r="F215" s="19" t="e">
        <f>VLOOKUP(C215,[3]PriceList!$C:$D,2,0)</f>
        <v>#N/A</v>
      </c>
      <c r="G215" s="19" t="e">
        <f>VLOOKUP(C215,[4]PriceList!$C:$D,2,0)</f>
        <v>#N/A</v>
      </c>
      <c r="H215" s="19" t="e">
        <f>VLOOKUP(C215,[6]PriceList!$C:$D,2,0)</f>
        <v>#N/A</v>
      </c>
      <c r="I215" s="19" t="str">
        <f>VLOOKUP(C215,[7]PriceList!$C:$D,2,0)</f>
        <v>Tag Line</v>
      </c>
      <c r="J215" s="19" t="e">
        <f>VLOOKUP(C215,[5]PriceList!$C:$D,2,0)</f>
        <v>#N/A</v>
      </c>
      <c r="K215" s="18" t="e">
        <f>VLOOKUP(C215,[8]PriceList!$C:$D,2,0)</f>
        <v>#N/A</v>
      </c>
    </row>
    <row r="216" spans="1:11" x14ac:dyDescent="0.3">
      <c r="A216" s="18">
        <v>215</v>
      </c>
      <c r="B216" s="18"/>
      <c r="C216" s="27" t="s">
        <v>259</v>
      </c>
      <c r="D216" s="19" t="e">
        <f>VLOOKUP(C216,[1]PriceList!$C:$D,2,0)</f>
        <v>#N/A</v>
      </c>
      <c r="E216" s="19" t="e">
        <f>VLOOKUP(C216,[2]PriceList!$C:$D,2,0)</f>
        <v>#N/A</v>
      </c>
      <c r="F216" s="19" t="e">
        <f>VLOOKUP(C216,[3]PriceList!$C:$D,2,0)</f>
        <v>#N/A</v>
      </c>
      <c r="G216" s="19" t="e">
        <f>VLOOKUP(C216,[4]PriceList!$C:$D,2,0)</f>
        <v>#N/A</v>
      </c>
      <c r="H216" s="19" t="e">
        <f>VLOOKUP(C216,[6]PriceList!$C:$D,2,0)</f>
        <v>#N/A</v>
      </c>
      <c r="I216" s="19" t="e">
        <f>VLOOKUP(C216,[7]PriceList!$C:$D,2,0)</f>
        <v>#N/A</v>
      </c>
      <c r="J216" s="19" t="e">
        <f>VLOOKUP(C216,[5]PriceList!$C:$D,2,0)</f>
        <v>#N/A</v>
      </c>
      <c r="K216" s="18" t="str">
        <f>VLOOKUP(C216,[8]PriceList!$C:$D,2,0)</f>
        <v>PCT-410</v>
      </c>
    </row>
    <row r="217" spans="1:11" x14ac:dyDescent="0.3">
      <c r="A217" s="18">
        <v>216</v>
      </c>
      <c r="B217" s="18"/>
      <c r="C217" s="19" t="s">
        <v>98</v>
      </c>
      <c r="D217" s="19" t="str">
        <f>VLOOKUP(C217,[1]PriceList!$C:$D,2,0)</f>
        <v>Sansani</v>
      </c>
      <c r="E217" s="19" t="e">
        <f>VLOOKUP(C217,[2]PriceList!$C:$D,2,0)</f>
        <v>#N/A</v>
      </c>
      <c r="F217" s="19" t="str">
        <f>VLOOKUP(C217,[3]PriceList!$C:$D,2,0)</f>
        <v>Hero</v>
      </c>
      <c r="G217" s="19" t="str">
        <f>VLOOKUP(C217,[4]PriceList!$C:$D,2,0)</f>
        <v>Haathi</v>
      </c>
      <c r="H217" s="19" t="e">
        <f>VLOOKUP(C217,[6]PriceList!$C:$D,2,0)</f>
        <v>#N/A</v>
      </c>
      <c r="I217" s="19" t="str">
        <f>VLOOKUP(C217,[7]PriceList!$C:$D,2,0)</f>
        <v>Tag Vanish</v>
      </c>
      <c r="J217" s="19" t="str">
        <f>VLOOKUP(C217,[5]PriceList!$C:$D,2,0)</f>
        <v>Saahi</v>
      </c>
      <c r="K217" s="18" t="str">
        <f>VLOOKUP(C217,[8]PriceList!$C:$D,2,0)</f>
        <v>Block</v>
      </c>
    </row>
    <row r="218" spans="1:11" x14ac:dyDescent="0.3">
      <c r="A218" s="18">
        <v>217</v>
      </c>
      <c r="B218" s="18"/>
      <c r="C218" s="19" t="s">
        <v>166</v>
      </c>
      <c r="D218" s="19" t="e">
        <f>VLOOKUP(C218,[1]PriceList!$C:$D,2,0)</f>
        <v>#N/A</v>
      </c>
      <c r="E218" s="19" t="e">
        <f>VLOOKUP(C218,[2]PriceList!$C:$D,2,0)</f>
        <v>#N/A</v>
      </c>
      <c r="F218" s="19" t="str">
        <f>VLOOKUP(C218,[3]PriceList!$C:$D,2,0)</f>
        <v>Jockey</v>
      </c>
      <c r="G218" s="19" t="str">
        <f>VLOOKUP(C218,[4]PriceList!$C:$D,2,0)</f>
        <v>Stuff</v>
      </c>
      <c r="H218" s="19" t="e">
        <f>VLOOKUP(C218,[6]PriceList!$C:$D,2,0)</f>
        <v>#N/A</v>
      </c>
      <c r="I218" s="19" t="str">
        <f>VLOOKUP(C218,[7]PriceList!$C:$D,2,0)</f>
        <v>Tag Hatiyar</v>
      </c>
      <c r="J218" s="19" t="str">
        <f>VLOOKUP(C218,[5]PriceList!$C:$D,2,0)</f>
        <v>Cocktail</v>
      </c>
      <c r="K218" s="18" t="e">
        <f>VLOOKUP(C218,[8]PriceList!$C:$D,2,0)</f>
        <v>#N/A</v>
      </c>
    </row>
    <row r="219" spans="1:11" x14ac:dyDescent="0.3">
      <c r="A219" s="18">
        <v>218</v>
      </c>
      <c r="B219" s="18"/>
      <c r="C219" s="19" t="s">
        <v>40</v>
      </c>
      <c r="D219" s="19" t="str">
        <f>VLOOKUP(C219,[1]PriceList!$C:$D,2,0)</f>
        <v>Veerappan</v>
      </c>
      <c r="E219" s="19" t="e">
        <f>VLOOKUP(C219,[2]PriceList!$C:$D,2,0)</f>
        <v>#N/A</v>
      </c>
      <c r="F219" s="19" t="e">
        <f>VLOOKUP(C219,[3]PriceList!$C:$D,2,0)</f>
        <v>#N/A</v>
      </c>
      <c r="G219" s="19" t="e">
        <f>VLOOKUP(C219,[4]PriceList!$C:$D,2,0)</f>
        <v>#N/A</v>
      </c>
      <c r="H219" s="19" t="e">
        <f>VLOOKUP(C219,[6]PriceList!$C:$D,2,0)</f>
        <v>#N/A</v>
      </c>
      <c r="I219" s="19" t="e">
        <f>VLOOKUP(C219,[7]PriceList!$C:$D,2,0)</f>
        <v>#N/A</v>
      </c>
      <c r="J219" s="19" t="e">
        <f>VLOOKUP(C219,[5]PriceList!$C:$D,2,0)</f>
        <v>#N/A</v>
      </c>
      <c r="K219" s="18" t="e">
        <f>VLOOKUP(C219,[8]PriceList!$C:$D,2,0)</f>
        <v>#N/A</v>
      </c>
    </row>
    <row r="220" spans="1:11" x14ac:dyDescent="0.3">
      <c r="A220" s="18">
        <v>219</v>
      </c>
      <c r="B220" s="18"/>
      <c r="C220" s="27" t="s">
        <v>245</v>
      </c>
      <c r="D220" s="19" t="e">
        <f>VLOOKUP(C220,[1]PriceList!$C:$D,2,0)</f>
        <v>#N/A</v>
      </c>
      <c r="E220" s="19" t="e">
        <f>VLOOKUP(C220,[2]PriceList!$C:$D,2,0)</f>
        <v>#N/A</v>
      </c>
      <c r="F220" s="19" t="e">
        <f>VLOOKUP(C220,[3]PriceList!$C:$D,2,0)</f>
        <v>#N/A</v>
      </c>
      <c r="G220" s="19" t="e">
        <f>VLOOKUP(C220,[4]PriceList!$C:$D,2,0)</f>
        <v>#N/A</v>
      </c>
      <c r="H220" s="19" t="e">
        <f>VLOOKUP(C220,[6]PriceList!$C:$D,2,0)</f>
        <v>#N/A</v>
      </c>
      <c r="I220" s="19" t="e">
        <f>VLOOKUP(C220,[7]PriceList!$C:$D,2,0)</f>
        <v>#N/A</v>
      </c>
      <c r="J220" s="19" t="str">
        <f>VLOOKUP(C220,[5]PriceList!$C:$D,2,0)</f>
        <v>Roxy</v>
      </c>
      <c r="K220" s="18" t="e">
        <f>VLOOKUP(C220,[8]PriceList!$C:$D,2,0)</f>
        <v>#N/A</v>
      </c>
    </row>
    <row r="221" spans="1:11" x14ac:dyDescent="0.3">
      <c r="A221" s="18">
        <v>220</v>
      </c>
      <c r="B221" s="18"/>
      <c r="C221" s="27" t="s">
        <v>262</v>
      </c>
      <c r="D221" s="19" t="e">
        <f>VLOOKUP(C221,[1]PriceList!$C:$D,2,0)</f>
        <v>#N/A</v>
      </c>
      <c r="E221" s="19" t="e">
        <f>VLOOKUP(C221,[2]PriceList!$C:$D,2,0)</f>
        <v>#N/A</v>
      </c>
      <c r="F221" s="19" t="e">
        <f>VLOOKUP(C221,[3]PriceList!$C:$D,2,0)</f>
        <v>#N/A</v>
      </c>
      <c r="G221" s="19" t="e">
        <f>VLOOKUP(C221,[4]PriceList!$C:$D,2,0)</f>
        <v>#N/A</v>
      </c>
      <c r="H221" s="19" t="str">
        <f>VLOOKUP(C221,[6]PriceList!$C:$D,2,0)</f>
        <v>Aaghaat</v>
      </c>
      <c r="I221" s="19" t="e">
        <f>VLOOKUP(C221,[7]PriceList!$C:$D,2,0)</f>
        <v>#N/A</v>
      </c>
      <c r="J221" s="19" t="e">
        <f>VLOOKUP(C221,[5]PriceList!$C:$D,2,0)</f>
        <v>#N/A</v>
      </c>
      <c r="K221" s="18" t="str">
        <f>VLOOKUP(C221,[8]PriceList!$C:$D,2,0)</f>
        <v>Slr 525</v>
      </c>
    </row>
    <row r="222" spans="1:11" x14ac:dyDescent="0.3">
      <c r="A222" s="18">
        <v>221</v>
      </c>
      <c r="B222" s="18"/>
      <c r="C222" s="31" t="s">
        <v>297</v>
      </c>
      <c r="D222" s="19" t="e">
        <f>VLOOKUP(C222,[1]PriceList!$C:$D,2,0)</f>
        <v>#N/A</v>
      </c>
      <c r="E222" s="19" t="e">
        <f>VLOOKUP(C222,[2]PriceList!$C:$D,2,0)</f>
        <v>#N/A</v>
      </c>
      <c r="F222" s="19" t="e">
        <f>VLOOKUP(C222,[3]PriceList!$C:$D,2,0)</f>
        <v>#N/A</v>
      </c>
      <c r="G222" s="19" t="e">
        <f>VLOOKUP(C222,[4]PriceList!$C:$D,2,0)</f>
        <v>#N/A</v>
      </c>
      <c r="H222" s="19" t="e">
        <f>VLOOKUP(C222,[6]PriceList!$C:$D,2,0)</f>
        <v>#N/A</v>
      </c>
      <c r="I222" s="19" t="str">
        <f>VLOOKUP(C222,[7]PriceList!$C:$D,2,0)</f>
        <v>Tag Fli</v>
      </c>
      <c r="J222" s="19" t="e">
        <f>VLOOKUP(C222,[5]PriceList!$C:$D,2,0)</f>
        <v>#N/A</v>
      </c>
      <c r="K222" s="18" t="e">
        <f>VLOOKUP(C222,[8]PriceList!$C:$D,2,0)</f>
        <v>#N/A</v>
      </c>
    </row>
    <row r="223" spans="1:11" x14ac:dyDescent="0.3">
      <c r="A223" s="18">
        <v>222</v>
      </c>
      <c r="B223" s="18"/>
      <c r="C223" s="19" t="s">
        <v>100</v>
      </c>
      <c r="D223" s="19" t="str">
        <f>VLOOKUP(C223,[1]PriceList!$C:$D,2,0)</f>
        <v>Hichki</v>
      </c>
      <c r="E223" s="19" t="e">
        <f>VLOOKUP(C223,[2]PriceList!$C:$D,2,0)</f>
        <v>#N/A</v>
      </c>
      <c r="F223" s="19" t="e">
        <f>VLOOKUP(C223,[3]PriceList!$C:$D,2,0)</f>
        <v>#N/A</v>
      </c>
      <c r="G223" s="19" t="str">
        <f>VLOOKUP(C223,[4]PriceList!$C:$D,2,0)</f>
        <v>Agastya Weedoff</v>
      </c>
      <c r="H223" s="19" t="e">
        <f>VLOOKUP(C223,[6]PriceList!$C:$D,2,0)</f>
        <v>#N/A</v>
      </c>
      <c r="I223" s="19" t="str">
        <f>VLOOKUP(C223,[7]PriceList!$C:$D,2,0)</f>
        <v>Tag Weedfire</v>
      </c>
      <c r="J223" s="19" t="str">
        <f>VLOOKUP(C223,[5]PriceList!$C:$D,2,0)</f>
        <v>Hit-Run</v>
      </c>
      <c r="K223" s="18" t="e">
        <f>VLOOKUP(C223,[8]PriceList!$C:$D,2,0)</f>
        <v>#N/A</v>
      </c>
    </row>
    <row r="224" spans="1:11" x14ac:dyDescent="0.3">
      <c r="A224" s="18">
        <v>223</v>
      </c>
      <c r="B224" s="18"/>
      <c r="C224" s="31" t="s">
        <v>333</v>
      </c>
      <c r="D224" s="19" t="e">
        <f>VLOOKUP(C224,[1]PriceList!$C:$D,2,0)</f>
        <v>#N/A</v>
      </c>
      <c r="E224" s="19" t="e">
        <f>VLOOKUP(C224,[2]PriceList!$C:$D,2,0)</f>
        <v>#N/A</v>
      </c>
      <c r="F224" s="19" t="e">
        <f>VLOOKUP(C224,[3]PriceList!$C:$D,2,0)</f>
        <v>#N/A</v>
      </c>
      <c r="G224" s="19" t="e">
        <f>VLOOKUP(C224,[4]PriceList!$C:$D,2,0)</f>
        <v>#N/A</v>
      </c>
      <c r="H224" s="19" t="str">
        <f>VLOOKUP(C224,[6]PriceList!$C:$D,2,0)</f>
        <v>Weedout
Super</v>
      </c>
      <c r="I224" s="19" t="str">
        <f>VLOOKUP(C224,[7]PriceList!$C:$D,2,0)</f>
        <v>Tag Weed Fire Plus</v>
      </c>
      <c r="J224" s="19" t="e">
        <f>VLOOKUP(C224,[5]PriceList!$C:$D,2,0)</f>
        <v>#N/A</v>
      </c>
      <c r="K224" s="18" t="e">
        <f>VLOOKUP(C224,[8]PriceList!$C:$D,2,0)</f>
        <v>#N/A</v>
      </c>
    </row>
    <row r="225" spans="1:11" x14ac:dyDescent="0.3">
      <c r="A225" s="18">
        <v>224</v>
      </c>
      <c r="B225" s="18"/>
      <c r="C225" s="19" t="s">
        <v>59</v>
      </c>
      <c r="D225" s="19" t="str">
        <f>VLOOKUP(C225,[1]PriceList!$C:$D,2,0)</f>
        <v>Chowkidar super</v>
      </c>
      <c r="E225" s="19" t="e">
        <f>VLOOKUP(C225,[2]PriceList!$C:$D,2,0)</f>
        <v>#N/A</v>
      </c>
      <c r="F225" s="19" t="e">
        <f>VLOOKUP(C225,[3]PriceList!$C:$D,2,0)</f>
        <v>#N/A</v>
      </c>
      <c r="G225" s="19" t="e">
        <f>VLOOKUP(C225,[4]PriceList!$C:$D,2,0)</f>
        <v>#N/A</v>
      </c>
      <c r="H225" s="19" t="e">
        <f>VLOOKUP(C225,[6]PriceList!$C:$D,2,0)</f>
        <v>#N/A</v>
      </c>
      <c r="I225" s="19" t="e">
        <f>VLOOKUP(C225,[7]PriceList!$C:$D,2,0)</f>
        <v>#N/A</v>
      </c>
      <c r="J225" s="19" t="e">
        <f>VLOOKUP(C225,[5]PriceList!$C:$D,2,0)</f>
        <v>#N/A</v>
      </c>
      <c r="K225" s="18" t="e">
        <f>VLOOKUP(C225,[8]PriceList!$C:$D,2,0)</f>
        <v>#N/A</v>
      </c>
    </row>
    <row r="226" spans="1:11" x14ac:dyDescent="0.3">
      <c r="A226" s="18">
        <v>225</v>
      </c>
      <c r="B226" s="18"/>
      <c r="C226" s="28" t="s">
        <v>224</v>
      </c>
      <c r="D226" s="19" t="str">
        <f>VLOOKUP(C226,[1]PriceList!$C:$D,2,0)</f>
        <v>Tribunal</v>
      </c>
      <c r="E226" s="19" t="e">
        <f>VLOOKUP(C226,[2]PriceList!$C:$D,2,0)</f>
        <v>#N/A</v>
      </c>
      <c r="F226" s="19" t="e">
        <f>VLOOKUP(C226,[3]PriceList!$C:$D,2,0)</f>
        <v>#N/A</v>
      </c>
      <c r="G226" s="19" t="e">
        <f>VLOOKUP(C226,[4]PriceList!$C:$D,2,0)</f>
        <v>#N/A</v>
      </c>
      <c r="H226" s="19" t="e">
        <f>VLOOKUP(C226,[6]PriceList!$C:$D,2,0)</f>
        <v>#N/A</v>
      </c>
      <c r="I226" s="19" t="e">
        <f>VLOOKUP(C226,[7]PriceList!$C:$D,2,0)</f>
        <v>#N/A</v>
      </c>
      <c r="J226" s="19" t="e">
        <f>VLOOKUP(C226,[5]PriceList!$C:$D,2,0)</f>
        <v>#N/A</v>
      </c>
      <c r="K226" s="18" t="str">
        <f>VLOOKUP(C226,[8]PriceList!$C:$D,2,0)</f>
        <v>Baji</v>
      </c>
    </row>
    <row r="227" spans="1:11" x14ac:dyDescent="0.3">
      <c r="A227" s="18">
        <v>226</v>
      </c>
      <c r="B227" s="18"/>
      <c r="C227" s="19" t="s">
        <v>125</v>
      </c>
      <c r="D227" s="19" t="e">
        <f>VLOOKUP(C227,[1]PriceList!$C:$D,2,0)</f>
        <v>#N/A</v>
      </c>
      <c r="E227" s="19" t="str">
        <f>VLOOKUP(C227,[2]PriceList!$C:$D,2,0)</f>
        <v>San Quin</v>
      </c>
      <c r="F227" s="19" t="e">
        <f>VLOOKUP(C227,[3]PriceList!$C:$D,2,0)</f>
        <v>#N/A</v>
      </c>
      <c r="G227" s="19" t="str">
        <f>VLOOKUP(C227,[4]PriceList!$C:$D,2,0)</f>
        <v>Aalquin</v>
      </c>
      <c r="H227" s="19" t="e">
        <f>VLOOKUP(C227,[6]PriceList!$C:$D,2,0)</f>
        <v>#N/A</v>
      </c>
      <c r="I227" s="19" t="str">
        <f>VLOOKUP(C227,[7]PriceList!$C:$D,2,0)</f>
        <v>Tagquin</v>
      </c>
      <c r="J227" s="19" t="e">
        <f>VLOOKUP(C227,[5]PriceList!$C:$D,2,0)</f>
        <v>#N/A</v>
      </c>
      <c r="K227" s="18" t="e">
        <f>VLOOKUP(C227,[8]PriceList!$C:$D,2,0)</f>
        <v>#N/A</v>
      </c>
    </row>
    <row r="228" spans="1:11" x14ac:dyDescent="0.3">
      <c r="A228" s="18">
        <v>227</v>
      </c>
      <c r="B228" s="18"/>
      <c r="C228" s="19" t="s">
        <v>105</v>
      </c>
      <c r="D228" s="19" t="str">
        <f>VLOOKUP(C228,[1]PriceList!$C:$D,2,0)</f>
        <v>Daichi ultra</v>
      </c>
      <c r="E228" s="19" t="e">
        <f>VLOOKUP(C228,[2]PriceList!$C:$D,2,0)</f>
        <v>#N/A</v>
      </c>
      <c r="F228" s="19" t="e">
        <f>VLOOKUP(C228,[3]PriceList!$C:$D,2,0)</f>
        <v>#N/A</v>
      </c>
      <c r="G228" s="19" t="str">
        <f>VLOOKUP(C228,[4]PriceList!$C:$D,2,0)</f>
        <v>As Gold</v>
      </c>
      <c r="H228" s="19" t="e">
        <f>VLOOKUP(C228,[6]PriceList!$C:$D,2,0)</f>
        <v>#N/A</v>
      </c>
      <c r="I228" s="19" t="str">
        <f>VLOOKUP(C228,[7]PriceList!$C:$D,2,0)</f>
        <v>Tag Quick Plus</v>
      </c>
      <c r="J228" s="19" t="e">
        <f>VLOOKUP(C228,[5]PriceList!$C:$D,2,0)</f>
        <v>#N/A</v>
      </c>
      <c r="K228" s="18" t="e">
        <f>VLOOKUP(C228,[8]PriceList!$C:$D,2,0)</f>
        <v>#N/A</v>
      </c>
    </row>
    <row r="229" spans="1:11" x14ac:dyDescent="0.3">
      <c r="A229" s="18">
        <v>228</v>
      </c>
      <c r="B229" s="18"/>
      <c r="C229" s="19" t="s">
        <v>154</v>
      </c>
      <c r="D229" s="19" t="str">
        <f>VLOOKUP(C229,[1]PriceList!$C:$D,2,0)</f>
        <v>Daichi</v>
      </c>
      <c r="E229" s="19" t="str">
        <f>VLOOKUP(C229,[2]PriceList!$C:$D,2,0)</f>
        <v>Quash</v>
      </c>
      <c r="F229" s="19" t="e">
        <f>VLOOKUP(C229,[3]PriceList!$C:$D,2,0)</f>
        <v>#N/A</v>
      </c>
      <c r="G229" s="19" t="str">
        <f>VLOOKUP(C229,[4]PriceList!$C:$D,2,0)</f>
        <v>Aalsuper</v>
      </c>
      <c r="H229" s="19" t="str">
        <f>VLOOKUP(C229,[6]PriceList!$C:$D,2,0)</f>
        <v>Builder</v>
      </c>
      <c r="I229" s="19" t="str">
        <f>VLOOKUP(C229,[7]PriceList!$C:$D,2,0)</f>
        <v>Tagquick</v>
      </c>
      <c r="J229" s="19" t="e">
        <f>VLOOKUP(C229,[5]PriceList!$C:$D,2,0)</f>
        <v>#N/A</v>
      </c>
      <c r="K229" s="18" t="str">
        <f>VLOOKUP(C229,[8]PriceList!$C:$D,2,0)</f>
        <v>Zenblade</v>
      </c>
    </row>
    <row r="230" spans="1:11" x14ac:dyDescent="0.3">
      <c r="A230" s="18">
        <v>229</v>
      </c>
      <c r="B230" s="18"/>
      <c r="C230" s="19" t="s">
        <v>161</v>
      </c>
      <c r="D230" s="19" t="e">
        <f>VLOOKUP(C230,[1]PriceList!$C:$D,2,0)</f>
        <v>#N/A</v>
      </c>
      <c r="E230" s="19" t="str">
        <f>VLOOKUP(C230,[2]PriceList!$C:$D,2,0)</f>
        <v>Vancy Gold</v>
      </c>
      <c r="F230" s="19" t="e">
        <f>VLOOKUP(C230,[3]PriceList!$C:$D,2,0)</f>
        <v>#N/A</v>
      </c>
      <c r="G230" s="19" t="e">
        <f>VLOOKUP(C230,[4]PriceList!$C:$D,2,0)</f>
        <v>#N/A</v>
      </c>
      <c r="H230" s="19" t="e">
        <f>VLOOKUP(C230,[6]PriceList!$C:$D,2,0)</f>
        <v>#N/A</v>
      </c>
      <c r="I230" s="19" t="str">
        <f>VLOOKUP(C230,[7]PriceList!$C:$D,2,0)</f>
        <v>Tagzyme Gr</v>
      </c>
      <c r="J230" s="19" t="e">
        <f>VLOOKUP(C230,[5]PriceList!$C:$D,2,0)</f>
        <v>#N/A</v>
      </c>
      <c r="K230" s="18" t="e">
        <f>VLOOKUP(C230,[8]PriceList!$C:$D,2,0)</f>
        <v>#N/A</v>
      </c>
    </row>
    <row r="231" spans="1:11" x14ac:dyDescent="0.3">
      <c r="A231" s="18">
        <v>230</v>
      </c>
      <c r="B231" s="18"/>
      <c r="C231" s="19" t="s">
        <v>158</v>
      </c>
      <c r="D231" s="19" t="e">
        <f>VLOOKUP(C231,[1]PriceList!$C:$D,2,0)</f>
        <v>#N/A</v>
      </c>
      <c r="E231" s="19" t="str">
        <f>VLOOKUP(C231,[2]PriceList!$C:$D,2,0)</f>
        <v>Sanwet</v>
      </c>
      <c r="F231" s="19" t="e">
        <f>VLOOKUP(C231,[3]PriceList!$C:$D,2,0)</f>
        <v>#N/A</v>
      </c>
      <c r="G231" s="19" t="e">
        <f>VLOOKUP(C231,[4]PriceList!$C:$D,2,0)</f>
        <v>#N/A</v>
      </c>
      <c r="H231" s="19" t="str">
        <f>VLOOKUP(C231,[6]PriceList!$C:$D,2,0)</f>
        <v>Ignition</v>
      </c>
      <c r="I231" s="19" t="e">
        <f>VLOOKUP(C231,[7]PriceList!$C:$D,2,0)</f>
        <v>#N/A</v>
      </c>
      <c r="J231" s="19" t="e">
        <f>VLOOKUP(C231,[5]PriceList!$C:$D,2,0)</f>
        <v>#N/A</v>
      </c>
      <c r="K231" s="18" t="e">
        <f>VLOOKUP(C231,[8]PriceList!$C:$D,2,0)</f>
        <v>#N/A</v>
      </c>
    </row>
    <row r="232" spans="1:11" x14ac:dyDescent="0.3">
      <c r="A232" s="18">
        <v>231</v>
      </c>
      <c r="B232" s="18"/>
      <c r="C232" s="19" t="s">
        <v>107</v>
      </c>
      <c r="D232" s="19" t="str">
        <f>VLOOKUP(C232,[1]PriceList!$C:$D,2,0)</f>
        <v>Kaamyab</v>
      </c>
      <c r="E232" s="19" t="e">
        <f>VLOOKUP(C232,[2]PriceList!$C:$D,2,0)</f>
        <v>#N/A</v>
      </c>
      <c r="F232" s="19" t="e">
        <f>VLOOKUP(C232,[3]PriceList!$C:$D,2,0)</f>
        <v>#N/A</v>
      </c>
      <c r="G232" s="19" t="e">
        <f>VLOOKUP(C232,[4]PriceList!$C:$D,2,0)</f>
        <v>#N/A</v>
      </c>
      <c r="H232" s="19" t="e">
        <f>VLOOKUP(C232,[6]PriceList!$C:$D,2,0)</f>
        <v>#N/A</v>
      </c>
      <c r="I232" s="19" t="e">
        <f>VLOOKUP(C232,[7]PriceList!$C:$D,2,0)</f>
        <v>#N/A</v>
      </c>
      <c r="J232" s="19" t="e">
        <f>VLOOKUP(C232,[5]PriceList!$C:$D,2,0)</f>
        <v>#N/A</v>
      </c>
      <c r="K232" s="18" t="e">
        <f>VLOOKUP(C232,[8]PriceList!$C:$D,2,0)</f>
        <v>#N/A</v>
      </c>
    </row>
    <row r="233" spans="1:11" x14ac:dyDescent="0.3">
      <c r="A233" s="18">
        <v>232</v>
      </c>
      <c r="B233" s="18"/>
      <c r="C233" s="19" t="s">
        <v>174</v>
      </c>
      <c r="D233" s="19" t="e">
        <f>VLOOKUP(C233,[1]PriceList!$C:$D,2,0)</f>
        <v>#N/A</v>
      </c>
      <c r="E233" s="19" t="e">
        <f>VLOOKUP(C233,[2]PriceList!$C:$D,2,0)</f>
        <v>#N/A</v>
      </c>
      <c r="F233" s="19" t="str">
        <f>VLOOKUP(C233,[3]PriceList!$C:$D,2,0)</f>
        <v>Triveni</v>
      </c>
      <c r="G233" s="19" t="e">
        <f>VLOOKUP(C233,[4]PriceList!$C:$D,2,0)</f>
        <v>#N/A</v>
      </c>
      <c r="H233" s="19" t="e">
        <f>VLOOKUP(C233,[6]PriceList!$C:$D,2,0)</f>
        <v>#N/A</v>
      </c>
      <c r="I233" s="19" t="e">
        <f>VLOOKUP(C233,[7]PriceList!$C:$D,2,0)</f>
        <v>#N/A</v>
      </c>
      <c r="J233" s="19" t="e">
        <f>VLOOKUP(C233,[5]PriceList!$C:$D,2,0)</f>
        <v>#N/A</v>
      </c>
      <c r="K233" s="18" t="e">
        <f>VLOOKUP(C233,[8]PriceList!$C:$D,2,0)</f>
        <v>#N/A</v>
      </c>
    </row>
    <row r="234" spans="1:11" x14ac:dyDescent="0.3">
      <c r="A234" s="18">
        <v>233</v>
      </c>
      <c r="B234" s="18"/>
      <c r="C234" s="31" t="s">
        <v>308</v>
      </c>
      <c r="D234" s="19" t="e">
        <f>VLOOKUP(C234,[1]PriceList!$C:$D,2,0)</f>
        <v>#N/A</v>
      </c>
      <c r="E234" s="19" t="e">
        <f>VLOOKUP(C234,[2]PriceList!$C:$D,2,0)</f>
        <v>#N/A</v>
      </c>
      <c r="F234" s="19" t="e">
        <f>VLOOKUP(C234,[3]PriceList!$C:$D,2,0)</f>
        <v>#N/A</v>
      </c>
      <c r="G234" s="19" t="e">
        <f>VLOOKUP(C234,[4]PriceList!$C:$D,2,0)</f>
        <v>#N/A</v>
      </c>
      <c r="H234" s="19" t="e">
        <f>VLOOKUP(C234,[6]PriceList!$C:$D,2,0)</f>
        <v>#N/A</v>
      </c>
      <c r="I234" s="19" t="str">
        <f>VLOOKUP(C234,[7]PriceList!$C:$D,2,0)</f>
        <v>Champion</v>
      </c>
      <c r="J234" s="19" t="e">
        <f>VLOOKUP(C234,[5]PriceList!$C:$D,2,0)</f>
        <v>#N/A</v>
      </c>
      <c r="K234" s="18" t="e">
        <f>VLOOKUP(C234,[8]PriceList!$C:$D,2,0)</f>
        <v>#N/A</v>
      </c>
    </row>
    <row r="235" spans="1:11" x14ac:dyDescent="0.3">
      <c r="A235" s="18">
        <v>234</v>
      </c>
      <c r="B235" s="18"/>
      <c r="C235" s="19" t="s">
        <v>17</v>
      </c>
      <c r="D235" s="19" t="str">
        <f>VLOOKUP(C235,[1]PriceList!$C:$D,2,0)</f>
        <v>Sanza</v>
      </c>
      <c r="E235" s="19" t="e">
        <f>VLOOKUP(C235,[2]PriceList!$C:$D,2,0)</f>
        <v>#N/A</v>
      </c>
      <c r="F235" s="19" t="e">
        <f>VLOOKUP(C235,[3]PriceList!$C:$D,2,0)</f>
        <v>#N/A</v>
      </c>
      <c r="G235" s="19" t="e">
        <f>VLOOKUP(C235,[4]PriceList!$C:$D,2,0)</f>
        <v>#N/A</v>
      </c>
      <c r="H235" s="19" t="e">
        <f>VLOOKUP(C235,[6]PriceList!$C:$D,2,0)</f>
        <v>#N/A</v>
      </c>
      <c r="I235" s="19" t="e">
        <f>VLOOKUP(C235,[7]PriceList!$C:$D,2,0)</f>
        <v>#N/A</v>
      </c>
      <c r="J235" s="19" t="e">
        <f>VLOOKUP(C235,[5]PriceList!$C:$D,2,0)</f>
        <v>#N/A</v>
      </c>
      <c r="K235" s="18" t="e">
        <f>VLOOKUP(C235,[8]PriceList!$C:$D,2,0)</f>
        <v>#N/A</v>
      </c>
    </row>
    <row r="236" spans="1:11" x14ac:dyDescent="0.3">
      <c r="A236" s="18">
        <v>235</v>
      </c>
      <c r="B236" s="18"/>
      <c r="C236" s="19" t="s">
        <v>18</v>
      </c>
      <c r="D236" s="19" t="str">
        <f>VLOOKUP(C236,[1]PriceList!$C:$D,2,0)</f>
        <v>Sanza top</v>
      </c>
      <c r="E236" s="19" t="e">
        <f>VLOOKUP(C236,[2]PriceList!$C:$D,2,0)</f>
        <v>#N/A</v>
      </c>
      <c r="F236" s="19" t="e">
        <f>VLOOKUP(C236,[3]PriceList!$C:$D,2,0)</f>
        <v>#N/A</v>
      </c>
      <c r="G236" s="19" t="e">
        <f>VLOOKUP(C236,[4]PriceList!$C:$D,2,0)</f>
        <v>#N/A</v>
      </c>
      <c r="H236" s="19" t="e">
        <f>VLOOKUP(C236,[6]PriceList!$C:$D,2,0)</f>
        <v>#N/A</v>
      </c>
      <c r="I236" s="19" t="e">
        <f>VLOOKUP(C236,[7]PriceList!$C:$D,2,0)</f>
        <v>#N/A</v>
      </c>
      <c r="J236" s="19" t="e">
        <f>VLOOKUP(C236,[5]PriceList!$C:$D,2,0)</f>
        <v>#N/A</v>
      </c>
      <c r="K236" s="18" t="e">
        <f>VLOOKUP(C236,[8]PriceList!$C:$D,2,0)</f>
        <v>#N/A</v>
      </c>
    </row>
    <row r="237" spans="1:11" x14ac:dyDescent="0.3">
      <c r="A237" s="18">
        <v>236</v>
      </c>
      <c r="B237" s="18"/>
      <c r="C237" s="28" t="s">
        <v>205</v>
      </c>
      <c r="D237" s="19" t="str">
        <f>VLOOKUP(C237,[1]PriceList!$C:$D,2,0)</f>
        <v>Scientist</v>
      </c>
      <c r="E237" s="19" t="e">
        <f>VLOOKUP(C237,[2]PriceList!$C:$D,2,0)</f>
        <v>#N/A</v>
      </c>
      <c r="F237" s="19" t="e">
        <f>VLOOKUP(C237,[3]PriceList!$C:$D,2,0)</f>
        <v>#N/A</v>
      </c>
      <c r="G237" s="19" t="str">
        <f>VLOOKUP(C237,[4]PriceList!$C:$D,2,0)</f>
        <v>Opera</v>
      </c>
      <c r="H237" s="19" t="e">
        <f>VLOOKUP(C237,[6]PriceList!$C:$D,2,0)</f>
        <v>#N/A</v>
      </c>
      <c r="I237" s="19" t="str">
        <f>VLOOKUP(C237,[7]PriceList!$C:$D,2,0)</f>
        <v>Tag Spiro</v>
      </c>
      <c r="J237" s="19" t="str">
        <f>VLOOKUP(C237,[5]PriceList!$C:$D,2,0)</f>
        <v>Neoron</v>
      </c>
      <c r="K237" s="18" t="e">
        <f>VLOOKUP(C237,[8]PriceList!$C:$D,2,0)</f>
        <v>#N/A</v>
      </c>
    </row>
    <row r="238" spans="1:11" x14ac:dyDescent="0.3">
      <c r="A238" s="18">
        <v>237</v>
      </c>
      <c r="B238" s="18"/>
      <c r="C238" s="19" t="s">
        <v>204</v>
      </c>
      <c r="D238" s="19" t="str">
        <f>VLOOKUP(C238,[1]PriceList!$C:$D,2,0)</f>
        <v>Cinema</v>
      </c>
      <c r="E238" s="19" t="e">
        <f>VLOOKUP(C238,[2]PriceList!$C:$D,2,0)</f>
        <v>#N/A</v>
      </c>
      <c r="F238" s="19" t="e">
        <f>VLOOKUP(C238,[3]PriceList!$C:$D,2,0)</f>
        <v>#N/A</v>
      </c>
      <c r="G238" s="19" t="e">
        <f>VLOOKUP(C238,[4]PriceList!$C:$D,2,0)</f>
        <v>#N/A</v>
      </c>
      <c r="H238" s="19" t="e">
        <f>VLOOKUP(C238,[6]PriceList!$C:$D,2,0)</f>
        <v>#N/A</v>
      </c>
      <c r="I238" s="19" t="e">
        <f>VLOOKUP(C238,[7]PriceList!$C:$D,2,0)</f>
        <v>#N/A</v>
      </c>
      <c r="J238" s="19" t="e">
        <f>VLOOKUP(C238,[5]PriceList!$C:$D,2,0)</f>
        <v>#N/A</v>
      </c>
      <c r="K238" s="18" t="e">
        <f>VLOOKUP(C238,[8]PriceList!$C:$D,2,0)</f>
        <v>#N/A</v>
      </c>
    </row>
    <row r="239" spans="1:11" x14ac:dyDescent="0.3">
      <c r="A239" s="18">
        <v>238</v>
      </c>
      <c r="B239" s="18"/>
      <c r="C239" s="31" t="s">
        <v>303</v>
      </c>
      <c r="D239" s="19" t="e">
        <f>VLOOKUP(C239,[1]PriceList!$C:$D,2,0)</f>
        <v>#N/A</v>
      </c>
      <c r="E239" s="19" t="e">
        <f>VLOOKUP(C239,[2]PriceList!$C:$D,2,0)</f>
        <v>#N/A</v>
      </c>
      <c r="F239" s="19" t="e">
        <f>VLOOKUP(C239,[3]PriceList!$C:$D,2,0)</f>
        <v>#N/A</v>
      </c>
      <c r="G239" s="19" t="e">
        <f>VLOOKUP(C239,[4]PriceList!$C:$D,2,0)</f>
        <v>#N/A</v>
      </c>
      <c r="H239" s="19" t="e">
        <f>VLOOKUP(C239,[6]PriceList!$C:$D,2,0)</f>
        <v>#N/A</v>
      </c>
      <c r="I239" s="19" t="str">
        <f>VLOOKUP(C239,[7]PriceList!$C:$D,2,0)</f>
        <v>Tagmycin</v>
      </c>
      <c r="J239" s="19" t="e">
        <f>VLOOKUP(C239,[5]PriceList!$C:$D,2,0)</f>
        <v>#N/A</v>
      </c>
      <c r="K239" s="18" t="e">
        <f>VLOOKUP(C239,[8]PriceList!$C:$D,2,0)</f>
        <v>#N/A</v>
      </c>
    </row>
    <row r="240" spans="1:11" x14ac:dyDescent="0.3">
      <c r="A240" s="18">
        <v>239</v>
      </c>
      <c r="B240" s="18"/>
      <c r="C240" s="28" t="s">
        <v>209</v>
      </c>
      <c r="D240" s="19" t="str">
        <f>VLOOKUP(C240,[1]PriceList!$C:$D,2,0)</f>
        <v>Sindoor gold</v>
      </c>
      <c r="E240" s="19" t="e">
        <f>VLOOKUP(C240,[2]PriceList!$C:$D,2,0)</f>
        <v>#N/A</v>
      </c>
      <c r="F240" s="19" t="e">
        <f>VLOOKUP(C240,[3]PriceList!$C:$D,2,0)</f>
        <v>#N/A</v>
      </c>
      <c r="G240" s="19" t="e">
        <f>VLOOKUP(C240,[4]PriceList!$C:$D,2,0)</f>
        <v>#N/A</v>
      </c>
      <c r="H240" s="19" t="e">
        <f>VLOOKUP(C240,[6]PriceList!$C:$D,2,0)</f>
        <v>#N/A</v>
      </c>
      <c r="I240" s="19" t="e">
        <f>VLOOKUP(C240,[7]PriceList!$C:$D,2,0)</f>
        <v>#N/A</v>
      </c>
      <c r="J240" s="19" t="e">
        <f>VLOOKUP(C240,[5]PriceList!$C:$D,2,0)</f>
        <v>#N/A</v>
      </c>
      <c r="K240" s="18" t="e">
        <f>VLOOKUP(C240,[8]PriceList!$C:$D,2,0)</f>
        <v>#N/A</v>
      </c>
    </row>
    <row r="241" spans="1:11" x14ac:dyDescent="0.3">
      <c r="A241" s="18">
        <v>240</v>
      </c>
      <c r="B241" s="18"/>
      <c r="C241" s="19" t="s">
        <v>90</v>
      </c>
      <c r="D241" s="19" t="str">
        <f>VLOOKUP(C241,[1]PriceList!$C:$D,2,0)</f>
        <v>Sindoor</v>
      </c>
      <c r="E241" s="19" t="e">
        <f>VLOOKUP(C241,[2]PriceList!$C:$D,2,0)</f>
        <v>#N/A</v>
      </c>
      <c r="F241" s="19" t="e">
        <f>VLOOKUP(C241,[3]PriceList!$C:$D,2,0)</f>
        <v>#N/A</v>
      </c>
      <c r="G241" s="19" t="e">
        <f>VLOOKUP(C241,[4]PriceList!$C:$D,2,0)</f>
        <v>#N/A</v>
      </c>
      <c r="H241" s="19" t="e">
        <f>VLOOKUP(C241,[6]PriceList!$C:$D,2,0)</f>
        <v>#N/A</v>
      </c>
      <c r="I241" s="19" t="e">
        <f>VLOOKUP(C241,[7]PriceList!$C:$D,2,0)</f>
        <v>#N/A</v>
      </c>
      <c r="J241" s="19" t="e">
        <f>VLOOKUP(C241,[5]PriceList!$C:$D,2,0)</f>
        <v>#N/A</v>
      </c>
      <c r="K241" s="18" t="e">
        <f>VLOOKUP(C241,[8]PriceList!$C:$D,2,0)</f>
        <v>#N/A</v>
      </c>
    </row>
    <row r="242" spans="1:11" x14ac:dyDescent="0.3">
      <c r="A242" s="18">
        <v>241</v>
      </c>
      <c r="B242" s="18"/>
      <c r="C242" s="19" t="s">
        <v>111</v>
      </c>
      <c r="D242" s="19" t="str">
        <f>VLOOKUP(C242,[1]PriceList!$C:$D,2,0)</f>
        <v>Agency super</v>
      </c>
      <c r="E242" s="19" t="e">
        <f>VLOOKUP(C242,[2]PriceList!$C:$D,2,0)</f>
        <v>#N/A</v>
      </c>
      <c r="F242" s="19" t="e">
        <f>VLOOKUP(C242,[3]PriceList!$C:$D,2,0)</f>
        <v>#N/A</v>
      </c>
      <c r="G242" s="19" t="e">
        <f>VLOOKUP(C242,[4]PriceList!$C:$D,2,0)</f>
        <v>#N/A</v>
      </c>
      <c r="H242" s="19" t="e">
        <f>VLOOKUP(C242,[6]PriceList!$C:$D,2,0)</f>
        <v>#N/A</v>
      </c>
      <c r="I242" s="19" t="e">
        <f>VLOOKUP(C242,[7]PriceList!$C:$D,2,0)</f>
        <v>#N/A</v>
      </c>
      <c r="J242" s="19" t="e">
        <f>VLOOKUP(C242,[5]PriceList!$C:$D,2,0)</f>
        <v>#N/A</v>
      </c>
      <c r="K242" s="18" t="e">
        <f>VLOOKUP(C242,[8]PriceList!$C:$D,2,0)</f>
        <v>#N/A</v>
      </c>
    </row>
    <row r="243" spans="1:11" x14ac:dyDescent="0.3">
      <c r="A243" s="18">
        <v>242</v>
      </c>
      <c r="B243" s="18"/>
      <c r="C243" s="19" t="s">
        <v>110</v>
      </c>
      <c r="D243" s="19" t="str">
        <f>VLOOKUP(C243,[1]PriceList!$C:$D,2,0)</f>
        <v>Agency</v>
      </c>
      <c r="E243" s="19" t="e">
        <f>VLOOKUP(C243,[2]PriceList!$C:$D,2,0)</f>
        <v>#N/A</v>
      </c>
      <c r="F243" s="19" t="e">
        <f>VLOOKUP(C243,[3]PriceList!$C:$D,2,0)</f>
        <v>#N/A</v>
      </c>
      <c r="G243" s="19" t="e">
        <f>VLOOKUP(C243,[4]PriceList!$C:$D,2,0)</f>
        <v>#N/A</v>
      </c>
      <c r="H243" s="19" t="e">
        <f>VLOOKUP(C243,[6]PriceList!$C:$D,2,0)</f>
        <v>#N/A</v>
      </c>
      <c r="I243" s="19" t="e">
        <f>VLOOKUP(C243,[7]PriceList!$C:$D,2,0)</f>
        <v>#N/A</v>
      </c>
      <c r="J243" s="19" t="e">
        <f>VLOOKUP(C243,[5]PriceList!$C:$D,2,0)</f>
        <v>#N/A</v>
      </c>
      <c r="K243" s="18" t="e">
        <f>VLOOKUP(C243,[8]PriceList!$C:$D,2,0)</f>
        <v>#N/A</v>
      </c>
    </row>
    <row r="244" spans="1:11" x14ac:dyDescent="0.3">
      <c r="A244" s="18">
        <v>243</v>
      </c>
      <c r="B244" s="18"/>
      <c r="C244" s="31" t="s">
        <v>278</v>
      </c>
      <c r="D244" s="19" t="e">
        <f>VLOOKUP(C244,[1]PriceList!$C:$D,2,0)</f>
        <v>#N/A</v>
      </c>
      <c r="E244" s="19" t="e">
        <f>VLOOKUP(C244,[2]PriceList!$C:$D,2,0)</f>
        <v>#N/A</v>
      </c>
      <c r="F244" s="19" t="e">
        <f>VLOOKUP(C244,[3]PriceList!$C:$D,2,0)</f>
        <v>#N/A</v>
      </c>
      <c r="G244" s="19" t="e">
        <f>VLOOKUP(C244,[4]PriceList!$C:$D,2,0)</f>
        <v>#N/A</v>
      </c>
      <c r="H244" s="19" t="e">
        <f>VLOOKUP(C244,[6]PriceList!$C:$D,2,0)</f>
        <v>#N/A</v>
      </c>
      <c r="I244" s="19" t="str">
        <f>VLOOKUP(C244,[7]PriceList!$C:$D,2,0)</f>
        <v>Tagsul-DF</v>
      </c>
      <c r="J244" s="19" t="e">
        <f>VLOOKUP(C244,[5]PriceList!$C:$D,2,0)</f>
        <v>#N/A</v>
      </c>
      <c r="K244" s="18" t="e">
        <f>VLOOKUP(C244,[8]PriceList!$C:$D,2,0)</f>
        <v>#N/A</v>
      </c>
    </row>
    <row r="245" spans="1:11" x14ac:dyDescent="0.3">
      <c r="A245" s="18">
        <v>244</v>
      </c>
      <c r="B245" s="18"/>
      <c r="C245" s="19" t="s">
        <v>143</v>
      </c>
      <c r="D245" s="19" t="e">
        <f>VLOOKUP(C245,[1]PriceList!$C:$D,2,0)</f>
        <v>#N/A</v>
      </c>
      <c r="E245" s="19" t="str">
        <f>VLOOKUP(C245,[2]PriceList!$C:$D,2,0)</f>
        <v>Tuan</v>
      </c>
      <c r="F245" s="19" t="e">
        <f>VLOOKUP(C245,[3]PriceList!$C:$D,2,0)</f>
        <v>#N/A</v>
      </c>
      <c r="G245" s="19" t="str">
        <f>VLOOKUP(C245,[4]PriceList!$C:$D,2,0)</f>
        <v>Shine</v>
      </c>
      <c r="H245" s="19" t="e">
        <f>VLOOKUP(C245,[6]PriceList!$C:$D,2,0)</f>
        <v>#N/A</v>
      </c>
      <c r="I245" s="19" t="str">
        <f>VLOOKUP(C245,[7]PriceList!$C:$D,2,0)</f>
        <v>Tag Azad</v>
      </c>
      <c r="J245" s="19" t="str">
        <f>VLOOKUP(C245,[5]PriceList!$C:$D,2,0)</f>
        <v>Jara</v>
      </c>
      <c r="K245" s="18" t="str">
        <f>VLOOKUP(C245,[8]PriceList!$C:$D,2,0)</f>
        <v>Pledge</v>
      </c>
    </row>
    <row r="246" spans="1:11" x14ac:dyDescent="0.3">
      <c r="A246" s="18">
        <v>245</v>
      </c>
      <c r="B246" s="18"/>
      <c r="C246" s="28" t="s">
        <v>268</v>
      </c>
      <c r="D246" s="19" t="e">
        <f>VLOOKUP(C246,[1]PriceList!$C:$D,2,0)</f>
        <v>#N/A</v>
      </c>
      <c r="E246" s="19" t="str">
        <f>VLOOKUP(C246,[2]PriceList!$C:$D,2,0)</f>
        <v>San Sul</v>
      </c>
      <c r="F246" s="19" t="e">
        <f>VLOOKUP(C246,[3]PriceList!$C:$D,2,0)</f>
        <v>#N/A</v>
      </c>
      <c r="G246" s="19" t="e">
        <f>VLOOKUP(C246,[4]PriceList!$C:$D,2,0)</f>
        <v>#N/A</v>
      </c>
      <c r="H246" s="19" t="e">
        <f>VLOOKUP(C246,[6]PriceList!$C:$D,2,0)</f>
        <v>#N/A</v>
      </c>
      <c r="I246" s="19" t="str">
        <f>VLOOKUP(C246,[7]PriceList!$C:$D,2,0)</f>
        <v>Tagsul</v>
      </c>
      <c r="J246" s="19" t="e">
        <f>VLOOKUP(C246,[5]PriceList!$C:$D,2,0)</f>
        <v>#N/A</v>
      </c>
      <c r="K246" s="18" t="str">
        <f>VLOOKUP(C246,[8]PriceList!$C:$D,2,0)</f>
        <v>Sulfin</v>
      </c>
    </row>
    <row r="247" spans="1:11" x14ac:dyDescent="0.3">
      <c r="A247" s="18">
        <v>246</v>
      </c>
      <c r="B247" s="18"/>
      <c r="C247" s="19" t="s">
        <v>147</v>
      </c>
      <c r="D247" s="19" t="e">
        <f>VLOOKUP(C247,[1]PriceList!$C:$D,2,0)</f>
        <v>#N/A</v>
      </c>
      <c r="E247" s="19" t="str">
        <f>VLOOKUP(C247,[2]PriceList!$C:$D,2,0)</f>
        <v>San Teb</v>
      </c>
      <c r="F247" s="19" t="e">
        <f>VLOOKUP(C247,[3]PriceList!$C:$D,2,0)</f>
        <v>#N/A</v>
      </c>
      <c r="G247" s="19" t="str">
        <f>VLOOKUP(C247,[4]PriceList!$C:$D,2,0)</f>
        <v>Doli</v>
      </c>
      <c r="H247" s="19" t="e">
        <f>VLOOKUP(C247,[6]PriceList!$C:$D,2,0)</f>
        <v>#N/A</v>
      </c>
      <c r="I247" s="19" t="str">
        <f>VLOOKUP(C247,[7]PriceList!$C:$D,2,0)</f>
        <v>Temper</v>
      </c>
      <c r="J247" s="19" t="e">
        <f>VLOOKUP(C247,[5]PriceList!$C:$D,2,0)</f>
        <v>#N/A</v>
      </c>
      <c r="K247" s="18" t="e">
        <f>VLOOKUP(C247,[8]PriceList!$C:$D,2,0)</f>
        <v>#N/A</v>
      </c>
    </row>
    <row r="248" spans="1:11" x14ac:dyDescent="0.3">
      <c r="A248" s="18">
        <v>247</v>
      </c>
      <c r="B248" s="18"/>
      <c r="C248" s="31" t="s">
        <v>284</v>
      </c>
      <c r="D248" s="19" t="e">
        <f>VLOOKUP(C248,[1]PriceList!$C:$D,2,0)</f>
        <v>#N/A</v>
      </c>
      <c r="E248" s="19" t="e">
        <f>VLOOKUP(C248,[2]PriceList!$C:$D,2,0)</f>
        <v>#N/A</v>
      </c>
      <c r="F248" s="19" t="e">
        <f>VLOOKUP(C248,[3]PriceList!$C:$D,2,0)</f>
        <v>#N/A</v>
      </c>
      <c r="G248" s="19" t="e">
        <f>VLOOKUP(C248,[4]PriceList!$C:$D,2,0)</f>
        <v>#N/A</v>
      </c>
      <c r="H248" s="19" t="e">
        <f>VLOOKUP(C248,[6]PriceList!$C:$D,2,0)</f>
        <v>#N/A</v>
      </c>
      <c r="I248" s="19" t="str">
        <f>VLOOKUP(C248,[7]PriceList!$C:$D,2,0)</f>
        <v>Tag Temper Gold</v>
      </c>
      <c r="J248" s="19" t="e">
        <f>VLOOKUP(C248,[5]PriceList!$C:$D,2,0)</f>
        <v>#N/A</v>
      </c>
      <c r="K248" s="18" t="e">
        <f>VLOOKUP(C248,[8]PriceList!$C:$D,2,0)</f>
        <v>#N/A</v>
      </c>
    </row>
    <row r="249" spans="1:11" x14ac:dyDescent="0.3">
      <c r="A249" s="18">
        <v>248</v>
      </c>
      <c r="B249" s="18"/>
      <c r="C249" s="19" t="s">
        <v>273</v>
      </c>
      <c r="D249" s="19" t="str">
        <f>VLOOKUP(C249,[1]PriceList!$C:$D,2,0)</f>
        <v>Kaizen gold</v>
      </c>
      <c r="E249" s="19" t="e">
        <f>VLOOKUP(C249,[2]PriceList!$C:$D,2,0)</f>
        <v>#N/A</v>
      </c>
      <c r="F249" s="19" t="e">
        <f>VLOOKUP(C249,[3]PriceList!$C:$D,2,0)</f>
        <v>#N/A</v>
      </c>
      <c r="G249" s="19" t="e">
        <f>VLOOKUP(C249,[4]PriceList!$C:$D,2,0)</f>
        <v>#N/A</v>
      </c>
      <c r="H249" s="19" t="e">
        <f>VLOOKUP(C249,[6]PriceList!$C:$D,2,0)</f>
        <v>#N/A</v>
      </c>
      <c r="I249" s="19" t="e">
        <f>VLOOKUP(C249,[7]PriceList!$C:$D,2,0)</f>
        <v>#N/A</v>
      </c>
      <c r="J249" s="19" t="str">
        <f>VLOOKUP(C249,[5]PriceList!$C:$D,2,0)</f>
        <v xml:space="preserve">Sastra </v>
      </c>
      <c r="K249" s="18" t="e">
        <f>VLOOKUP(C249,[8]PriceList!$C:$D,2,0)</f>
        <v>#N/A</v>
      </c>
    </row>
    <row r="250" spans="1:11" x14ac:dyDescent="0.3">
      <c r="A250" s="18">
        <v>249</v>
      </c>
      <c r="B250" s="18"/>
      <c r="C250" s="19" t="s">
        <v>71</v>
      </c>
      <c r="D250" s="19" t="str">
        <f>VLOOKUP(C250,[1]PriceList!$C:$D,2,0)</f>
        <v>Rafale</v>
      </c>
      <c r="E250" s="19" t="e">
        <f>VLOOKUP(C250,[2]PriceList!$C:$D,2,0)</f>
        <v>#N/A</v>
      </c>
      <c r="F250" s="19" t="e">
        <f>VLOOKUP(C250,[3]PriceList!$C:$D,2,0)</f>
        <v>#N/A</v>
      </c>
      <c r="G250" s="19" t="e">
        <f>VLOOKUP(C250,[4]PriceList!$C:$D,2,0)</f>
        <v>#N/A</v>
      </c>
      <c r="H250" s="19" t="e">
        <f>VLOOKUP(C250,[6]PriceList!$C:$D,2,0)</f>
        <v>#N/A</v>
      </c>
      <c r="I250" s="19" t="e">
        <f>VLOOKUP(C250,[7]PriceList!$C:$D,2,0)</f>
        <v>#N/A</v>
      </c>
      <c r="J250" s="19" t="e">
        <f>VLOOKUP(C250,[5]PriceList!$C:$D,2,0)</f>
        <v>#N/A</v>
      </c>
      <c r="K250" s="18" t="e">
        <f>VLOOKUP(C250,[8]PriceList!$C:$D,2,0)</f>
        <v>#N/A</v>
      </c>
    </row>
    <row r="251" spans="1:11" x14ac:dyDescent="0.3">
      <c r="A251" s="18">
        <v>250</v>
      </c>
      <c r="B251" s="18"/>
      <c r="C251" s="19" t="s">
        <v>77</v>
      </c>
      <c r="D251" s="19" t="str">
        <f>VLOOKUP(C251,[1]PriceList!$C:$D,2,0)</f>
        <v>Lockedon</v>
      </c>
      <c r="E251" s="19" t="str">
        <f>VLOOKUP(C251,[2]PriceList!$C:$D,2,0)</f>
        <v>Tiscon</v>
      </c>
      <c r="F251" s="19" t="e">
        <f>VLOOKUP(C251,[3]PriceList!$C:$D,2,0)</f>
        <v>#N/A</v>
      </c>
      <c r="G251" s="19" t="str">
        <f>VLOOKUP(C251,[4]PriceList!$C:$D,2,0)</f>
        <v>Lloyd</v>
      </c>
      <c r="H251" s="19" t="str">
        <f>VLOOKUP(C251,[6]PriceList!$C:$D,2,0)</f>
        <v>Yarude</v>
      </c>
      <c r="I251" s="19" t="str">
        <f>VLOOKUP(C251,[7]PriceList!$C:$D,2,0)</f>
        <v>Tag Saf</v>
      </c>
      <c r="J251" s="19" t="str">
        <f>VLOOKUP(C251,[5]PriceList!$C:$D,2,0)</f>
        <v>Judous</v>
      </c>
      <c r="K251" s="18" t="str">
        <f>VLOOKUP(C251,[8]PriceList!$C:$D,2,0)</f>
        <v>Topkill</v>
      </c>
    </row>
    <row r="252" spans="1:11" x14ac:dyDescent="0.3">
      <c r="A252" s="18">
        <v>251</v>
      </c>
      <c r="B252" s="18"/>
      <c r="C252" s="19" t="s">
        <v>23</v>
      </c>
      <c r="D252" s="19" t="str">
        <f>VLOOKUP(C252,[1]PriceList!$C:$D,2,0)</f>
        <v>Binary</v>
      </c>
      <c r="E252" s="19" t="e">
        <f>VLOOKUP(C252,[2]PriceList!$C:$D,2,0)</f>
        <v>#N/A</v>
      </c>
      <c r="F252" s="19" t="e">
        <f>VLOOKUP(C252,[3]PriceList!$C:$D,2,0)</f>
        <v>#N/A</v>
      </c>
      <c r="G252" s="19" t="e">
        <f>VLOOKUP(C252,[4]PriceList!$C:$D,2,0)</f>
        <v>#N/A</v>
      </c>
      <c r="H252" s="19" t="e">
        <f>VLOOKUP(C252,[6]PriceList!$C:$D,2,0)</f>
        <v>#N/A</v>
      </c>
      <c r="I252" s="19" t="e">
        <f>VLOOKUP(C252,[7]PriceList!$C:$D,2,0)</f>
        <v>#N/A</v>
      </c>
      <c r="J252" s="19" t="e">
        <f>VLOOKUP(C252,[5]PriceList!$C:$D,2,0)</f>
        <v>#N/A</v>
      </c>
      <c r="K252" s="18" t="e">
        <f>VLOOKUP(C252,[8]PriceList!$C:$D,2,0)</f>
        <v>#N/A</v>
      </c>
    </row>
    <row r="253" spans="1:11" x14ac:dyDescent="0.3">
      <c r="A253" s="18">
        <v>252</v>
      </c>
      <c r="B253" s="18"/>
      <c r="C253" s="19" t="s">
        <v>35</v>
      </c>
      <c r="D253" s="19" t="str">
        <f>VLOOKUP(C253,[1]PriceList!$C:$D,2,0)</f>
        <v>Satellite</v>
      </c>
      <c r="E253" s="19" t="e">
        <f>VLOOKUP(C253,[2]PriceList!$C:$D,2,0)</f>
        <v>#N/A</v>
      </c>
      <c r="F253" s="19" t="e">
        <f>VLOOKUP(C253,[3]PriceList!$C:$D,2,0)</f>
        <v>#N/A</v>
      </c>
      <c r="G253" s="19" t="e">
        <f>VLOOKUP(C253,[4]PriceList!$C:$D,2,0)</f>
        <v>#N/A</v>
      </c>
      <c r="H253" s="19" t="e">
        <f>VLOOKUP(C253,[6]PriceList!$C:$D,2,0)</f>
        <v>#N/A</v>
      </c>
      <c r="I253" s="19" t="e">
        <f>VLOOKUP(C253,[7]PriceList!$C:$D,2,0)</f>
        <v>#N/A</v>
      </c>
      <c r="J253" s="19" t="e">
        <f>VLOOKUP(C253,[5]PriceList!$C:$D,2,0)</f>
        <v>#N/A</v>
      </c>
      <c r="K253" s="18" t="str">
        <f>VLOOKUP(C253,[8]PriceList!$C:$D,2,0)</f>
        <v>Ballot pro</v>
      </c>
    </row>
    <row r="254" spans="1:11" x14ac:dyDescent="0.3">
      <c r="A254" s="18">
        <v>253</v>
      </c>
      <c r="B254" s="18"/>
      <c r="C254" s="31" t="s">
        <v>301</v>
      </c>
      <c r="D254" s="19" t="e">
        <f>VLOOKUP(C254,[1]PriceList!$C:$D,2,0)</f>
        <v>#N/A</v>
      </c>
      <c r="E254" s="19" t="e">
        <f>VLOOKUP(C254,[2]PriceList!$C:$D,2,0)</f>
        <v>#N/A</v>
      </c>
      <c r="F254" s="19" t="e">
        <f>VLOOKUP(C254,[3]PriceList!$C:$D,2,0)</f>
        <v>#N/A</v>
      </c>
      <c r="G254" s="19" t="e">
        <f>VLOOKUP(C254,[4]PriceList!$C:$D,2,0)</f>
        <v>#N/A</v>
      </c>
      <c r="H254" s="19" t="e">
        <f>VLOOKUP(C254,[6]PriceList!$C:$D,2,0)</f>
        <v>#N/A</v>
      </c>
      <c r="I254" s="19" t="str">
        <f>VLOOKUP(C254,[7]PriceList!$C:$D,2,0)</f>
        <v>Tag Stem Lee Gr</v>
      </c>
      <c r="J254" s="19" t="e">
        <f>VLOOKUP(C254,[5]PriceList!$C:$D,2,0)</f>
        <v>#N/A</v>
      </c>
      <c r="K254" s="18" t="e">
        <f>VLOOKUP(C254,[8]PriceList!$C:$D,2,0)</f>
        <v>#N/A</v>
      </c>
    </row>
    <row r="255" spans="1:11" x14ac:dyDescent="0.3">
      <c r="A255" s="18">
        <v>254</v>
      </c>
      <c r="B255" s="18"/>
      <c r="C255" s="30" t="s">
        <v>131</v>
      </c>
      <c r="D255" s="19" t="str">
        <f>VLOOKUP(C255,[1]PriceList!$C:$D,2,0)</f>
        <v>Tamasha</v>
      </c>
      <c r="E255" s="19" t="str">
        <f>VLOOKUP(C255,[2]PriceList!$C:$D,2,0)</f>
        <v>Santhila</v>
      </c>
      <c r="F255" s="19" t="str">
        <f>VLOOKUP(C255,[3]PriceList!$C:$D,2,0)</f>
        <v>Tiger</v>
      </c>
      <c r="G255" s="19" t="str">
        <f>VLOOKUP(C255,[4]PriceList!$C:$D,2,0)</f>
        <v>Mash</v>
      </c>
      <c r="H255" s="19" t="str">
        <f>VLOOKUP(C255,[6]PriceList!$C:$D,2,0)</f>
        <v>Dhaak</v>
      </c>
      <c r="I255" s="19" t="str">
        <f>VLOOKUP(C255,[7]PriceList!$C:$D,2,0)</f>
        <v>Tagekka</v>
      </c>
      <c r="J255" s="19" t="e">
        <f>VLOOKUP(C255,[5]PriceList!$C:$D,2,0)</f>
        <v>#N/A</v>
      </c>
      <c r="K255" s="18" t="e">
        <f>VLOOKUP(C255,[8]PriceList!$C:$D,2,0)</f>
        <v>#N/A</v>
      </c>
    </row>
    <row r="256" spans="1:11" x14ac:dyDescent="0.3">
      <c r="A256" s="18">
        <v>255</v>
      </c>
      <c r="B256" s="18" t="s">
        <v>199</v>
      </c>
      <c r="C256" s="19" t="s">
        <v>124</v>
      </c>
      <c r="D256" s="19" t="str">
        <f>VLOOKUP(C256,[1]PriceList!$C:$D,2,0)</f>
        <v>Ikabana</v>
      </c>
      <c r="E256" s="19" t="str">
        <f>VLOOKUP(C256,[2]PriceList!$C:$D,2,0)</f>
        <v>San Thia</v>
      </c>
      <c r="F256" s="19" t="str">
        <f>VLOOKUP(C256,[3]PriceList!$C:$D,2,0)</f>
        <v>Thimax</v>
      </c>
      <c r="G256" s="19" t="str">
        <f>VLOOKUP(C256,[4]PriceList!$C:$D,2,0)</f>
        <v>Aaltara</v>
      </c>
      <c r="H256" s="19" t="str">
        <f>VLOOKUP(C256,[6]PriceList!$C:$D,2,0)</f>
        <v>Pele</v>
      </c>
      <c r="I256" s="19" t="str">
        <f>VLOOKUP(C256,[7]PriceList!$C:$D,2,0)</f>
        <v>Tagxone</v>
      </c>
      <c r="J256" s="19" t="str">
        <f>VLOOKUP(C256,[5]PriceList!$C:$D,2,0)</f>
        <v>Adhira</v>
      </c>
      <c r="K256" s="18" t="str">
        <f>VLOOKUP(C256,[8]PriceList!$C:$D,2,0)</f>
        <v>Slayer</v>
      </c>
    </row>
    <row r="257" spans="1:11" x14ac:dyDescent="0.3">
      <c r="A257" s="18">
        <v>256</v>
      </c>
      <c r="B257" s="18" t="s">
        <v>200</v>
      </c>
      <c r="C257" s="19" t="s">
        <v>30</v>
      </c>
      <c r="D257" s="19" t="str">
        <f>VLOOKUP(C257,[1]PriceList!$C:$D,2,0)</f>
        <v>Sudoku</v>
      </c>
      <c r="E257" s="19" t="str">
        <f>VLOOKUP(C257,[2]PriceList!$C:$D,2,0)</f>
        <v>San Thia +</v>
      </c>
      <c r="F257" s="19" t="str">
        <f>VLOOKUP(C257,[3]PriceList!$C:$D,2,0)</f>
        <v>Mito 30</v>
      </c>
      <c r="G257" s="19" t="str">
        <f>VLOOKUP(C257,[4]PriceList!$C:$D,2,0)</f>
        <v>Ruff</v>
      </c>
      <c r="H257" s="19" t="str">
        <f>VLOOKUP(C257,[6]PriceList!$C:$D,2,0)</f>
        <v>Pele Gold</v>
      </c>
      <c r="I257" s="19" t="str">
        <f>VLOOKUP(C257,[7]PriceList!$C:$D,2,0)</f>
        <v>Magik Plus</v>
      </c>
      <c r="J257" s="19" t="e">
        <f>VLOOKUP(C257,[5]PriceList!$C:$D,2,0)</f>
        <v>#N/A</v>
      </c>
      <c r="K257" s="18" t="str">
        <f>VLOOKUP(C257,[8]PriceList!$C:$D,2,0)</f>
        <v>Slayer Pro</v>
      </c>
    </row>
    <row r="258" spans="1:11" x14ac:dyDescent="0.3">
      <c r="A258" s="18">
        <v>257</v>
      </c>
      <c r="B258" s="18"/>
      <c r="C258" s="19" t="s">
        <v>169</v>
      </c>
      <c r="D258" s="19" t="e">
        <f>VLOOKUP(C258,[1]PriceList!$C:$D,2,0)</f>
        <v>#N/A</v>
      </c>
      <c r="E258" s="19" t="e">
        <f>VLOOKUP(C258,[2]PriceList!$C:$D,2,0)</f>
        <v>#N/A</v>
      </c>
      <c r="F258" s="19" t="str">
        <f>VLOOKUP(C258,[3]PriceList!$C:$D,2,0)</f>
        <v xml:space="preserve">Shark
</v>
      </c>
      <c r="G258" s="19" t="e">
        <f>VLOOKUP(C258,[4]PriceList!$C:$D,2,0)</f>
        <v>#N/A</v>
      </c>
      <c r="H258" s="19" t="e">
        <f>VLOOKUP(C258,[6]PriceList!$C:$D,2,0)</f>
        <v>#N/A</v>
      </c>
      <c r="I258" s="19" t="e">
        <f>VLOOKUP(C258,[7]PriceList!$C:$D,2,0)</f>
        <v>#N/A</v>
      </c>
      <c r="J258" s="19" t="str">
        <f>VLOOKUP(C258,[5]PriceList!$C:$D,2,0)</f>
        <v>Patak-D</v>
      </c>
      <c r="K258" s="18" t="e">
        <f>VLOOKUP(C258,[8]PriceList!$C:$D,2,0)</f>
        <v>#N/A</v>
      </c>
    </row>
    <row r="259" spans="1:11" x14ac:dyDescent="0.3">
      <c r="A259" s="18">
        <v>258</v>
      </c>
      <c r="B259" s="18"/>
      <c r="C259" s="19" t="s">
        <v>172</v>
      </c>
      <c r="D259" s="19" t="e">
        <f>VLOOKUP(C259,[1]PriceList!$C:$D,2,0)</f>
        <v>#N/A</v>
      </c>
      <c r="E259" s="19" t="e">
        <f>VLOOKUP(C259,[2]PriceList!$C:$D,2,0)</f>
        <v>#N/A</v>
      </c>
      <c r="F259" s="19" t="str">
        <f>VLOOKUP(C259,[3]PriceList!$C:$D,2,0)</f>
        <v xml:space="preserve">Tyson
</v>
      </c>
      <c r="G259" s="19" t="str">
        <f>VLOOKUP(C259,[4]PriceList!$C:$D,2,0)</f>
        <v>Kim</v>
      </c>
      <c r="H259" s="19" t="e">
        <f>VLOOKUP(C259,[6]PriceList!$C:$D,2,0)</f>
        <v>#N/A</v>
      </c>
      <c r="I259" s="19" t="str">
        <f>VLOOKUP(C259,[7]PriceList!$C:$D,2,0)</f>
        <v>Tagxone Gold</v>
      </c>
      <c r="J259" s="19" t="str">
        <f>VLOOKUP(C259,[5]PriceList!$C:$D,2,0)</f>
        <v>Super Adhira</v>
      </c>
      <c r="K259" s="18" t="e">
        <f>VLOOKUP(C259,[8]PriceList!$C:$D,2,0)</f>
        <v>#N/A</v>
      </c>
    </row>
    <row r="260" spans="1:11" x14ac:dyDescent="0.3">
      <c r="A260" s="18">
        <v>259</v>
      </c>
      <c r="B260" s="18"/>
      <c r="C260" s="28" t="s">
        <v>253</v>
      </c>
      <c r="D260" s="19" t="e">
        <f>VLOOKUP(C260,[1]PriceList!$C:$D,2,0)</f>
        <v>#N/A</v>
      </c>
      <c r="E260" s="19" t="e">
        <f>VLOOKUP(C260,[2]PriceList!$C:$D,2,0)</f>
        <v>#N/A</v>
      </c>
      <c r="F260" s="19" t="e">
        <f>VLOOKUP(C260,[3]PriceList!$C:$D,2,0)</f>
        <v>#N/A</v>
      </c>
      <c r="G260" s="19" t="e">
        <f>VLOOKUP(C260,[4]PriceList!$C:$D,2,0)</f>
        <v>#N/A</v>
      </c>
      <c r="H260" s="19" t="e">
        <f>VLOOKUP(C260,[6]PriceList!$C:$D,2,0)</f>
        <v>#N/A</v>
      </c>
      <c r="I260" s="19" t="e">
        <f>VLOOKUP(C260,[7]PriceList!$C:$D,2,0)</f>
        <v>#N/A</v>
      </c>
      <c r="J260" s="19" t="e">
        <f>VLOOKUP(C260,[5]PriceList!$C:$D,2,0)</f>
        <v>#N/A</v>
      </c>
      <c r="K260" s="18" t="str">
        <f>VLOOKUP(C260,[8]PriceList!$C:$D,2,0)</f>
        <v>Element</v>
      </c>
    </row>
    <row r="261" spans="1:11" x14ac:dyDescent="0.3">
      <c r="A261" s="18">
        <v>260</v>
      </c>
      <c r="B261" s="18"/>
      <c r="C261" s="19" t="s">
        <v>69</v>
      </c>
      <c r="D261" s="19" t="str">
        <f>VLOOKUP(C261,[1]PriceList!$C:$D,2,0)</f>
        <v>Kazuki</v>
      </c>
      <c r="E261" s="19" t="str">
        <f>VLOOKUP(C261,[2]PriceList!$C:$D,2,0)</f>
        <v>Salar</v>
      </c>
      <c r="F261" s="19" t="e">
        <f>VLOOKUP(C261,[3]PriceList!$C:$D,2,0)</f>
        <v>#N/A</v>
      </c>
      <c r="G261" s="19" t="str">
        <f>VLOOKUP(C261,[4]PriceList!$C:$D,2,0)</f>
        <v>Aalfarmer</v>
      </c>
      <c r="H261" s="19" t="str">
        <f>VLOOKUP(C261,[6]PriceList!$C:$D,2,0)</f>
        <v>Matsuri</v>
      </c>
      <c r="I261" s="19" t="str">
        <f>VLOOKUP(C261,[7]PriceList!$C:$D,2,0)</f>
        <v>Tag Pulse</v>
      </c>
      <c r="J261" s="19" t="e">
        <f>VLOOKUP(C261,[5]PriceList!$C:$D,2,0)</f>
        <v>#N/A</v>
      </c>
      <c r="K261" s="18" t="str">
        <f>VLOOKUP(C261,[8]PriceList!$C:$D,2,0)</f>
        <v>Atal-G</v>
      </c>
    </row>
    <row r="262" spans="1:11" x14ac:dyDescent="0.3">
      <c r="A262" s="18">
        <v>261</v>
      </c>
      <c r="B262" s="18"/>
      <c r="C262" s="19" t="s">
        <v>164</v>
      </c>
      <c r="D262" s="19" t="e">
        <f>VLOOKUP(C262,[1]PriceList!$C:$D,2,0)</f>
        <v>#N/A</v>
      </c>
      <c r="E262" s="19" t="e">
        <f>VLOOKUP(C262,[2]PriceList!$C:$D,2,0)</f>
        <v>#N/A</v>
      </c>
      <c r="F262" s="19" t="str">
        <f>VLOOKUP(C262,[3]PriceList!$C:$D,2,0)</f>
        <v>Fire</v>
      </c>
      <c r="G262" s="19" t="e">
        <f>VLOOKUP(C262,[4]PriceList!$C:$D,2,0)</f>
        <v>#N/A</v>
      </c>
      <c r="H262" s="19" t="e">
        <f>VLOOKUP(C262,[6]PriceList!$C:$D,2,0)</f>
        <v>#N/A</v>
      </c>
      <c r="I262" s="19" t="e">
        <f>VLOOKUP(C262,[7]PriceList!$C:$D,2,0)</f>
        <v>#N/A</v>
      </c>
      <c r="J262" s="19" t="e">
        <f>VLOOKUP(C262,[5]PriceList!$C:$D,2,0)</f>
        <v>#N/A</v>
      </c>
      <c r="K262" s="18" t="e">
        <f>VLOOKUP(C262,[8]PriceList!$C:$D,2,0)</f>
        <v>#N/A</v>
      </c>
    </row>
    <row r="263" spans="1:11" x14ac:dyDescent="0.3">
      <c r="A263" s="18">
        <v>262</v>
      </c>
      <c r="B263" s="18"/>
      <c r="C263" s="27" t="s">
        <v>251</v>
      </c>
      <c r="D263" s="19" t="e">
        <f>VLOOKUP(C263,[1]PriceList!$C:$D,2,0)</f>
        <v>#N/A</v>
      </c>
      <c r="E263" s="19" t="e">
        <f>VLOOKUP(C263,[2]PriceList!$C:$D,2,0)</f>
        <v>#N/A</v>
      </c>
      <c r="F263" s="19" t="e">
        <f>VLOOKUP(C263,[3]PriceList!$C:$D,2,0)</f>
        <v>#N/A</v>
      </c>
      <c r="G263" s="19" t="e">
        <f>VLOOKUP(C263,[4]PriceList!$C:$D,2,0)</f>
        <v>#N/A</v>
      </c>
      <c r="H263" s="19" t="e">
        <f>VLOOKUP(C263,[6]PriceList!$C:$D,2,0)</f>
        <v>#N/A</v>
      </c>
      <c r="I263" s="19" t="e">
        <f>VLOOKUP(C263,[7]PriceList!$C:$D,2,0)</f>
        <v>#N/A</v>
      </c>
      <c r="J263" s="19" t="e">
        <f>VLOOKUP(C263,[5]PriceList!$C:$D,2,0)</f>
        <v>#N/A</v>
      </c>
      <c r="K263" s="18" t="str">
        <f>VLOOKUP(C263,[8]PriceList!$C:$D,2,0)</f>
        <v>Aurthor</v>
      </c>
    </row>
    <row r="264" spans="1:11" x14ac:dyDescent="0.3">
      <c r="A264" s="18">
        <v>263</v>
      </c>
      <c r="B264" s="18"/>
      <c r="C264" s="19" t="s">
        <v>148</v>
      </c>
      <c r="D264" s="19" t="e">
        <f>VLOOKUP(C264,[1]PriceList!$C:$D,2,0)</f>
        <v>#N/A</v>
      </c>
      <c r="E264" s="19" t="str">
        <f>VLOOKUP(C264,[2]PriceList!$C:$D,2,0)</f>
        <v>San Tpm</v>
      </c>
      <c r="F264" s="19" t="e">
        <f>VLOOKUP(C264,[3]PriceList!$C:$D,2,0)</f>
        <v>#N/A</v>
      </c>
      <c r="G264" s="19" t="str">
        <f>VLOOKUP(C264,[4]PriceList!$C:$D,2,0)</f>
        <v>Roak</v>
      </c>
      <c r="H264" s="19" t="str">
        <f>VLOOKUP(C264,[6]PriceList!$C:$D,2,0)</f>
        <v>Topsin</v>
      </c>
      <c r="I264" s="19" t="str">
        <f>VLOOKUP(C264,[7]PriceList!$C:$D,2,0)</f>
        <v>Tagsin-M</v>
      </c>
      <c r="J264" s="19" t="e">
        <f>VLOOKUP(C264,[5]PriceList!$C:$D,2,0)</f>
        <v>#N/A</v>
      </c>
      <c r="K264" s="18" t="e">
        <f>VLOOKUP(C264,[8]PriceList!$C:$D,2,0)</f>
        <v>#N/A</v>
      </c>
    </row>
    <row r="265" spans="1:11" x14ac:dyDescent="0.3">
      <c r="A265" s="18">
        <v>265</v>
      </c>
      <c r="B265" s="18"/>
      <c r="C265" s="28" t="s">
        <v>211</v>
      </c>
      <c r="D265" s="19" t="str">
        <f>VLOOKUP(C265,[1]PriceList!$C:$D,2,0)</f>
        <v>Library</v>
      </c>
      <c r="E265" s="19" t="str">
        <f>VLOOKUP(C265,[2]PriceList!$C:$D,2,0)</f>
        <v>Tolsan</v>
      </c>
      <c r="F265" s="19" t="e">
        <f>VLOOKUP(C265,[3]PriceList!$C:$D,2,0)</f>
        <v>#N/A</v>
      </c>
      <c r="G265" s="19" t="str">
        <f>VLOOKUP(C265,[4]PriceList!$C:$D,2,0)</f>
        <v>T.Fen</v>
      </c>
      <c r="H265" s="19" t="str">
        <f>VLOOKUP(C265,[6]PriceList!$C:$D,2,0)</f>
        <v>Dinosaur</v>
      </c>
      <c r="I265" s="19" t="str">
        <f>VLOOKUP(C265,[7]PriceList!$C:$D,2,0)</f>
        <v>Tag Fun</v>
      </c>
      <c r="J265" s="19" t="str">
        <f>VLOOKUP(C265,[5]PriceList!$C:$D,2,0)</f>
        <v>Taruchi</v>
      </c>
      <c r="K265" s="18" t="str">
        <f>VLOOKUP(C265,[8]PriceList!$C:$D,2,0)</f>
        <v>Yamraz</v>
      </c>
    </row>
    <row r="266" spans="1:11" x14ac:dyDescent="0.3">
      <c r="A266" s="18">
        <v>266</v>
      </c>
      <c r="B266" s="18"/>
      <c r="C266" s="27" t="s">
        <v>261</v>
      </c>
      <c r="D266" s="19" t="e">
        <f>VLOOKUP(C266,[1]PriceList!$C:$D,2,0)</f>
        <v>#N/A</v>
      </c>
      <c r="E266" s="19" t="e">
        <f>VLOOKUP(C266,[2]PriceList!$C:$D,2,0)</f>
        <v>#N/A</v>
      </c>
      <c r="F266" s="19" t="e">
        <f>VLOOKUP(C266,[3]PriceList!$C:$D,2,0)</f>
        <v>#N/A</v>
      </c>
      <c r="G266" s="19" t="e">
        <f>VLOOKUP(C266,[4]PriceList!$C:$D,2,0)</f>
        <v>#N/A</v>
      </c>
      <c r="H266" s="19" t="e">
        <f>VLOOKUP(C266,[6]PriceList!$C:$D,2,0)</f>
        <v>#N/A</v>
      </c>
      <c r="I266" s="19" t="e">
        <f>VLOOKUP(C266,[7]PriceList!$C:$D,2,0)</f>
        <v>#N/A</v>
      </c>
      <c r="J266" s="19" t="e">
        <f>VLOOKUP(C266,[5]PriceList!$C:$D,2,0)</f>
        <v>#N/A</v>
      </c>
      <c r="K266" s="18" t="str">
        <f>VLOOKUP(C266,[8]PriceList!$C:$D,2,0)</f>
        <v>Raavan</v>
      </c>
    </row>
    <row r="267" spans="1:11" x14ac:dyDescent="0.3">
      <c r="A267" s="18">
        <v>267</v>
      </c>
      <c r="B267" s="18"/>
      <c r="C267" s="28" t="s">
        <v>219</v>
      </c>
      <c r="D267" s="19" t="str">
        <f>VLOOKUP(C267,[1]PriceList!$C:$D,2,0)</f>
        <v>Road Roller</v>
      </c>
      <c r="E267" s="19" t="e">
        <f>VLOOKUP(C267,[2]PriceList!$C:$D,2,0)</f>
        <v>#N/A</v>
      </c>
      <c r="F267" s="19" t="e">
        <f>VLOOKUP(C267,[3]PriceList!$C:$D,2,0)</f>
        <v>#N/A</v>
      </c>
      <c r="G267" s="19" t="e">
        <f>VLOOKUP(C267,[4]PriceList!$C:$D,2,0)</f>
        <v>#N/A</v>
      </c>
      <c r="H267" s="19" t="e">
        <f>VLOOKUP(C267,[6]PriceList!$C:$D,2,0)</f>
        <v>#N/A</v>
      </c>
      <c r="I267" s="19" t="e">
        <f>VLOOKUP(C267,[7]PriceList!$C:$D,2,0)</f>
        <v>#N/A</v>
      </c>
      <c r="J267" s="19" t="e">
        <f>VLOOKUP(C267,[5]PriceList!$C:$D,2,0)</f>
        <v>#N/A</v>
      </c>
      <c r="K267" s="18" t="e">
        <f>VLOOKUP(C267,[8]PriceList!$C:$D,2,0)</f>
        <v>#N/A</v>
      </c>
    </row>
    <row r="268" spans="1:11" x14ac:dyDescent="0.3">
      <c r="A268" s="18">
        <v>268</v>
      </c>
      <c r="B268" s="18"/>
      <c r="C268" s="28" t="s">
        <v>332</v>
      </c>
      <c r="D268" s="19" t="str">
        <f>VLOOKUP(C268,[1]PriceList!$C:$D,2,0)</f>
        <v>Dropdown</v>
      </c>
      <c r="E268" s="19" t="e">
        <f>VLOOKUP(C268,[2]PriceList!$C:$D,2,0)</f>
        <v>#N/A</v>
      </c>
      <c r="F268" s="19" t="e">
        <f>VLOOKUP(C268,[3]PriceList!$C:$D,2,0)</f>
        <v>#N/A</v>
      </c>
      <c r="G268" s="19" t="e">
        <f>VLOOKUP(C268,[4]PriceList!$C:$D,2,0)</f>
        <v>#N/A</v>
      </c>
      <c r="H268" s="19" t="str">
        <f>VLOOKUP(C268,[6]PriceList!$C:$D,2,0)</f>
        <v>Subarashi</v>
      </c>
      <c r="I268" s="19" t="str">
        <f>VLOOKUP(C268,[7]PriceList!$C:$D,2,0)</f>
        <v>Tag Tingg</v>
      </c>
      <c r="J268" s="19" t="e">
        <f>VLOOKUP(C268,[5]PriceList!$C:$D,2,0)</f>
        <v>#N/A</v>
      </c>
      <c r="K268" s="18" t="str">
        <f>VLOOKUP(C268,[8]PriceList!$C:$D,2,0)</f>
        <v>Torch</v>
      </c>
    </row>
    <row r="269" spans="1:11" x14ac:dyDescent="0.3">
      <c r="A269" s="18">
        <v>269</v>
      </c>
      <c r="B269" s="18"/>
      <c r="C269" s="19" t="s">
        <v>114</v>
      </c>
      <c r="D269" s="19" t="e">
        <f>VLOOKUP(C269,[1]PriceList!$C:$D,2,0)</f>
        <v>#N/A</v>
      </c>
      <c r="E269" s="19" t="e">
        <f>VLOOKUP(C269,[2]PriceList!$C:$D,2,0)</f>
        <v>#N/A</v>
      </c>
      <c r="F269" s="19" t="e">
        <f>VLOOKUP(C269,[3]PriceList!$C:$D,2,0)</f>
        <v>#N/A</v>
      </c>
      <c r="G269" s="19" t="e">
        <f>VLOOKUP(C269,[4]PriceList!$C:$D,2,0)</f>
        <v>#N/A</v>
      </c>
      <c r="H269" s="19" t="e">
        <f>VLOOKUP(C269,[6]PriceList!$C:$D,2,0)</f>
        <v>#N/A</v>
      </c>
      <c r="I269" s="19" t="e">
        <f>VLOOKUP(C269,[7]PriceList!$C:$D,2,0)</f>
        <v>#N/A</v>
      </c>
      <c r="J269" s="19" t="e">
        <f>VLOOKUP(C269,[5]PriceList!$C:$D,2,0)</f>
        <v>#N/A</v>
      </c>
      <c r="K269" s="18" t="e">
        <f>VLOOKUP(C269,[8]PriceList!$C:$D,2,0)</f>
        <v>#N/A</v>
      </c>
    </row>
    <row r="270" spans="1:11" x14ac:dyDescent="0.3">
      <c r="A270" s="18">
        <v>270</v>
      </c>
      <c r="B270" s="18"/>
      <c r="C270" s="31" t="s">
        <v>318</v>
      </c>
      <c r="D270" s="19" t="e">
        <f>VLOOKUP(C270,[1]PriceList!$C:$D,2,0)</f>
        <v>#N/A</v>
      </c>
      <c r="E270" s="19" t="e">
        <f>VLOOKUP(C270,[2]PriceList!$C:$D,2,0)</f>
        <v>#N/A</v>
      </c>
      <c r="F270" s="19" t="e">
        <f>VLOOKUP(C270,[3]PriceList!$C:$D,2,0)</f>
        <v>#N/A</v>
      </c>
      <c r="G270" s="19" t="e">
        <f>VLOOKUP(C270,[4]PriceList!$C:$D,2,0)</f>
        <v>#N/A</v>
      </c>
      <c r="H270" s="19" t="e">
        <f>VLOOKUP(C270,[6]PriceList!$C:$D,2,0)</f>
        <v>#N/A</v>
      </c>
      <c r="I270" s="19" t="str">
        <f>VLOOKUP(C270,[7]PriceList!$C:$D,2,0)</f>
        <v>Taglife</v>
      </c>
      <c r="J270" s="19" t="e">
        <f>VLOOKUP(C270,[5]PriceList!$C:$D,2,0)</f>
        <v>#N/A</v>
      </c>
      <c r="K270" s="18" t="e">
        <f>VLOOKUP(C270,[8]PriceList!$C:$D,2,0)</f>
        <v>#N/A</v>
      </c>
    </row>
    <row r="271" spans="1:11" x14ac:dyDescent="0.3">
      <c r="A271" s="18">
        <v>271</v>
      </c>
      <c r="B271" s="18"/>
      <c r="C271" s="19" t="s">
        <v>156</v>
      </c>
      <c r="D271" s="19" t="e">
        <f>VLOOKUP(C271,[1]PriceList!$C:$D,2,0)</f>
        <v>#N/A</v>
      </c>
      <c r="E271" s="19" t="e">
        <f>VLOOKUP(C271,[2]PriceList!$C:$D,2,0)</f>
        <v>#N/A</v>
      </c>
      <c r="F271" s="19" t="e">
        <f>VLOOKUP(C271,[3]PriceList!$C:$D,2,0)</f>
        <v>#N/A</v>
      </c>
      <c r="G271" s="19" t="e">
        <f>VLOOKUP(C271,[4]PriceList!$C:$D,2,0)</f>
        <v>#N/A</v>
      </c>
      <c r="H271" s="19" t="e">
        <f>VLOOKUP(C271,[6]PriceList!$C:$D,2,0)</f>
        <v>#N/A</v>
      </c>
      <c r="I271" s="19" t="e">
        <f>VLOOKUP(C271,[7]PriceList!$C:$D,2,0)</f>
        <v>#N/A</v>
      </c>
      <c r="J271" s="19" t="e">
        <f>VLOOKUP(C271,[5]PriceList!$C:$D,2,0)</f>
        <v>#N/A</v>
      </c>
      <c r="K271" s="18" t="e">
        <f>VLOOKUP(C271,[8]PriceList!$C:$D,2,0)</f>
        <v>#N/A</v>
      </c>
    </row>
    <row r="272" spans="1:11" x14ac:dyDescent="0.3">
      <c r="A272" s="18">
        <v>272</v>
      </c>
      <c r="B272" s="18"/>
      <c r="C272" s="19" t="s">
        <v>157</v>
      </c>
      <c r="D272" s="19" t="str">
        <f>VLOOKUP(C272,[1]PriceList!$C:$D,2,0)</f>
        <v>Hifazat</v>
      </c>
      <c r="E272" s="19" t="str">
        <f>VLOOKUP(C272,[2]PriceList!$C:$D,2,0)</f>
        <v>San Tricon Gr</v>
      </c>
      <c r="F272" s="19" t="e">
        <f>VLOOKUP(C272,[3]PriceList!$C:$D,2,0)</f>
        <v>#N/A</v>
      </c>
      <c r="G272" s="19" t="e">
        <f>VLOOKUP(C272,[4]PriceList!$C:$D,2,0)</f>
        <v>#N/A</v>
      </c>
      <c r="H272" s="19" t="e">
        <f>VLOOKUP(C272,[6]PriceList!$C:$D,2,0)</f>
        <v>#N/A</v>
      </c>
      <c r="I272" s="19" t="e">
        <f>VLOOKUP(C272,[7]PriceList!$C:$D,2,0)</f>
        <v>#N/A</v>
      </c>
      <c r="J272" s="19" t="e">
        <f>VLOOKUP(C272,[5]PriceList!$C:$D,2,0)</f>
        <v>#N/A</v>
      </c>
      <c r="K272" s="18" t="e">
        <f>VLOOKUP(C272,[8]PriceList!$C:$D,2,0)</f>
        <v>#N/A</v>
      </c>
    </row>
    <row r="273" spans="1:11" x14ac:dyDescent="0.3">
      <c r="A273" s="18">
        <v>273</v>
      </c>
      <c r="B273" s="18"/>
      <c r="C273" s="27" t="s">
        <v>244</v>
      </c>
      <c r="D273" s="19" t="e">
        <f>VLOOKUP(C273,[1]PriceList!$C:$D,2,0)</f>
        <v>#N/A</v>
      </c>
      <c r="E273" s="19" t="e">
        <f>VLOOKUP(C273,[2]PriceList!$C:$D,2,0)</f>
        <v>#N/A</v>
      </c>
      <c r="F273" s="19" t="e">
        <f>VLOOKUP(C273,[3]PriceList!$C:$D,2,0)</f>
        <v>#N/A</v>
      </c>
      <c r="G273" s="19" t="str">
        <f>VLOOKUP(C273,[4]PriceList!$C:$D,2,0)</f>
        <v>Trinol</v>
      </c>
      <c r="H273" s="19" t="str">
        <f>VLOOKUP(C273,[6]PriceList!$C:$D,2,0)</f>
        <v>Bilsan</v>
      </c>
      <c r="I273" s="19" t="str">
        <f>VLOOKUP(C273,[7]PriceList!$C:$D,2,0)</f>
        <v>Vishal</v>
      </c>
      <c r="J273" s="19" t="str">
        <f>VLOOKUP(C273,[5]PriceList!$C:$D,2,0)</f>
        <v>Vikasit</v>
      </c>
      <c r="K273" s="18" t="e">
        <f>VLOOKUP(C273,[8]PriceList!$C:$D,2,0)</f>
        <v>#N/A</v>
      </c>
    </row>
    <row r="274" spans="1:11" x14ac:dyDescent="0.3">
      <c r="A274" s="18">
        <v>274</v>
      </c>
      <c r="B274" s="18"/>
      <c r="C274" s="27" t="s">
        <v>263</v>
      </c>
      <c r="D274" s="19" t="e">
        <f>VLOOKUP(C274,[1]PriceList!$C:$D,2,0)</f>
        <v>#N/A</v>
      </c>
      <c r="E274" s="19" t="e">
        <f>VLOOKUP(C274,[2]PriceList!$C:$D,2,0)</f>
        <v>#N/A</v>
      </c>
      <c r="F274" s="19" t="e">
        <f>VLOOKUP(C274,[3]PriceList!$C:$D,2,0)</f>
        <v>#N/A</v>
      </c>
      <c r="G274" s="19" t="e">
        <f>VLOOKUP(C274,[4]PriceList!$C:$D,2,0)</f>
        <v>#N/A</v>
      </c>
      <c r="H274" s="19" t="e">
        <f>VLOOKUP(C274,[6]PriceList!$C:$D,2,0)</f>
        <v>#N/A</v>
      </c>
      <c r="I274" s="19" t="e">
        <f>VLOOKUP(C274,[7]PriceList!$C:$D,2,0)</f>
        <v>#N/A</v>
      </c>
      <c r="J274" s="19" t="e">
        <f>VLOOKUP(C274,[5]PriceList!$C:$D,2,0)</f>
        <v>#N/A</v>
      </c>
      <c r="K274" s="18" t="str">
        <f>VLOOKUP(C274,[8]PriceList!$C:$D,2,0)</f>
        <v>Trustar</v>
      </c>
    </row>
    <row r="275" spans="1:11" x14ac:dyDescent="0.3">
      <c r="A275" s="18">
        <v>275</v>
      </c>
      <c r="B275" s="18"/>
      <c r="C275" s="19" t="s">
        <v>149</v>
      </c>
      <c r="D275" s="19" t="e">
        <f>VLOOKUP(C275,[1]PriceList!$C:$D,2,0)</f>
        <v>#N/A</v>
      </c>
      <c r="E275" s="19" t="str">
        <f>VLOOKUP(C275,[2]PriceList!$C:$D,2,0)</f>
        <v>San Tri Wp</v>
      </c>
      <c r="F275" s="19" t="e">
        <f>VLOOKUP(C275,[3]PriceList!$C:$D,2,0)</f>
        <v>#N/A</v>
      </c>
      <c r="G275" s="19" t="str">
        <f>VLOOKUP(C275,[4]PriceList!$C:$D,2,0)</f>
        <v>Aalblaze</v>
      </c>
      <c r="H275" s="19" t="e">
        <f>VLOOKUP(C275,[6]PriceList!$C:$D,2,0)</f>
        <v>#N/A</v>
      </c>
      <c r="I275" s="19" t="str">
        <f>VLOOKUP(C275,[7]PriceList!$C:$D,2,0)</f>
        <v>Tag Teem</v>
      </c>
      <c r="J275" s="19" t="str">
        <f>VLOOKUP(C275,[5]PriceList!$C:$D,2,0)</f>
        <v>Barron</v>
      </c>
      <c r="K275" s="18" t="e">
        <f>VLOOKUP(C275,[8]PriceList!$C:$D,2,0)</f>
        <v>#N/A</v>
      </c>
    </row>
    <row r="276" spans="1:11" x14ac:dyDescent="0.3">
      <c r="A276" s="18">
        <v>276</v>
      </c>
      <c r="B276" s="18"/>
      <c r="C276" s="19" t="s">
        <v>228</v>
      </c>
      <c r="D276" s="19" t="e">
        <f>VLOOKUP(C276,[1]PriceList!$C:$D,2,0)</f>
        <v>#N/A</v>
      </c>
      <c r="E276" s="19" t="str">
        <f>VLOOKUP(C276,[2]PriceList!$C:$D,2,0)</f>
        <v>Sanval</v>
      </c>
      <c r="F276" s="19" t="e">
        <f>VLOOKUP(C276,[3]PriceList!$C:$D,2,0)</f>
        <v>#N/A</v>
      </c>
      <c r="G276" s="19" t="e">
        <f>VLOOKUP(C276,[4]PriceList!$C:$D,2,0)</f>
        <v>#N/A</v>
      </c>
      <c r="H276" s="19" t="e">
        <f>VLOOKUP(C276,[6]PriceList!$C:$D,2,0)</f>
        <v>#N/A</v>
      </c>
      <c r="I276" s="19" t="str">
        <f>VLOOKUP(C276,[7]PriceList!$C:$D,2,0)</f>
        <v>Tagmar 20-20</v>
      </c>
      <c r="J276" s="19" t="e">
        <f>VLOOKUP(C276,[5]PriceList!$C:$D,2,0)</f>
        <v>#N/A</v>
      </c>
      <c r="K276" s="18" t="e">
        <f>VLOOKUP(C276,[8]PriceList!$C:$D,2,0)</f>
        <v>#N/A</v>
      </c>
    </row>
    <row r="277" spans="1:11" x14ac:dyDescent="0.3">
      <c r="A277" s="18">
        <v>277</v>
      </c>
      <c r="B277" s="18"/>
      <c r="C277" s="31" t="s">
        <v>277</v>
      </c>
      <c r="D277" s="19" t="e">
        <f>VLOOKUP(C277,[1]PriceList!$C:$D,2,0)</f>
        <v>#N/A</v>
      </c>
      <c r="E277" s="19" t="e">
        <f>VLOOKUP(C277,[2]PriceList!$C:$D,2,0)</f>
        <v>#N/A</v>
      </c>
      <c r="F277" s="19" t="e">
        <f>VLOOKUP(C277,[3]PriceList!$C:$D,2,0)</f>
        <v>#N/A</v>
      </c>
      <c r="G277" s="19" t="e">
        <f>VLOOKUP(C277,[4]PriceList!$C:$D,2,0)</f>
        <v>#N/A</v>
      </c>
      <c r="H277" s="19" t="e">
        <f>VLOOKUP(C277,[6]PriceList!$C:$D,2,0)</f>
        <v>#N/A</v>
      </c>
      <c r="I277" s="19" t="str">
        <f>VLOOKUP(C277,[7]PriceList!$C:$D,2,0)</f>
        <v>Helper</v>
      </c>
      <c r="J277" s="19" t="e">
        <f>VLOOKUP(C277,[5]PriceList!$C:$D,2,0)</f>
        <v>#N/A</v>
      </c>
      <c r="K277" s="18" t="e">
        <f>VLOOKUP(C277,[8]PriceList!$C:$D,2,0)</f>
        <v>#N/A</v>
      </c>
    </row>
    <row r="278" spans="1:11" x14ac:dyDescent="0.3">
      <c r="A278" s="18">
        <v>278</v>
      </c>
      <c r="B278" s="18"/>
      <c r="C278" s="31" t="s">
        <v>299</v>
      </c>
      <c r="D278" s="19" t="e">
        <f>VLOOKUP(C278,[1]PriceList!$C:$D,2,0)</f>
        <v>#N/A</v>
      </c>
      <c r="E278" s="19" t="e">
        <f>VLOOKUP(C278,[2]PriceList!$C:$D,2,0)</f>
        <v>#N/A</v>
      </c>
      <c r="F278" s="19" t="e">
        <f>VLOOKUP(C278,[3]PriceList!$C:$D,2,0)</f>
        <v>#N/A</v>
      </c>
      <c r="G278" s="19" t="e">
        <f>VLOOKUP(C278,[4]PriceList!$C:$D,2,0)</f>
        <v>#N/A</v>
      </c>
      <c r="H278" s="19" t="e">
        <f>VLOOKUP(C278,[6]PriceList!$C:$D,2,0)</f>
        <v>#N/A</v>
      </c>
      <c r="I278" s="19" t="str">
        <f>VLOOKUP(C278,[7]PriceList!$C:$D,2,0)</f>
        <v>Tag Zink Thara</v>
      </c>
      <c r="J278" s="19" t="e">
        <f>VLOOKUP(C278,[5]PriceList!$C:$D,2,0)</f>
        <v>#N/A</v>
      </c>
      <c r="K278" s="18" t="e">
        <f>VLOOKUP(C278,[8]PriceList!$C:$D,2,0)</f>
        <v>#N/A</v>
      </c>
    </row>
    <row r="279" spans="1:11" x14ac:dyDescent="0.3">
      <c r="A279" s="18">
        <v>279</v>
      </c>
      <c r="B279" s="18"/>
      <c r="C279" s="31" t="s">
        <v>294</v>
      </c>
      <c r="D279" s="19" t="e">
        <f>VLOOKUP(C279,[1]PriceList!$C:$D,2,0)</f>
        <v>#N/A</v>
      </c>
      <c r="E279" s="19" t="e">
        <f>VLOOKUP(C279,[2]PriceList!$C:$D,2,0)</f>
        <v>#N/A</v>
      </c>
      <c r="F279" s="19" t="e">
        <f>VLOOKUP(C279,[3]PriceList!$C:$D,2,0)</f>
        <v>#N/A</v>
      </c>
      <c r="G279" s="19" t="e">
        <f>VLOOKUP(C279,[4]PriceList!$C:$D,2,0)</f>
        <v>#N/A</v>
      </c>
      <c r="H279" s="19" t="e">
        <f>VLOOKUP(C279,[6]PriceList!$C:$D,2,0)</f>
        <v>#N/A</v>
      </c>
      <c r="I279" s="19" t="str">
        <f>VLOOKUP(C279,[7]PriceList!$C:$D,2,0)</f>
        <v>Tagziram</v>
      </c>
      <c r="J279" s="19" t="e">
        <f>VLOOKUP(C279,[5]PriceList!$C:$D,2,0)</f>
        <v>#N/A</v>
      </c>
      <c r="K279" s="18" t="e">
        <f>VLOOKUP(C279,[8]PriceList!$C:$D,2,0)</f>
        <v>#N/A</v>
      </c>
    </row>
    <row r="280" spans="1:11" x14ac:dyDescent="0.3">
      <c r="A280" s="18">
        <v>280</v>
      </c>
      <c r="B280" s="18"/>
      <c r="C280" s="19" t="s">
        <v>330</v>
      </c>
      <c r="D280" s="19" t="e">
        <f>VLOOKUP(C280,[1]PriceList!$C:$D,2,0)</f>
        <v>#N/A</v>
      </c>
      <c r="E280" s="19" t="str">
        <f>VLOOKUP(C280,[2]PriceList!$C:$D,2,0)</f>
        <v>San Teb Xtra</v>
      </c>
      <c r="F280" s="19" t="e">
        <f>VLOOKUP(C280,[3]PriceList!$C:$D,2,0)</f>
        <v>#N/A</v>
      </c>
      <c r="G280" s="19" t="e">
        <f>VLOOKUP(C280,[4]PriceList!$C:$D,2,0)</f>
        <v>#N/A</v>
      </c>
      <c r="H280" s="19" t="e">
        <f>VLOOKUP(C280,[6]PriceList!$C:$D,2,0)</f>
        <v>#N/A</v>
      </c>
      <c r="I280" s="19" t="e">
        <f>VLOOKUP(C280,[7]PriceList!$C:$D,2,0)</f>
        <v>#N/A</v>
      </c>
      <c r="J280" s="19" t="e">
        <f>VLOOKUP(C280,[5]PriceList!$C:$D,2,0)</f>
        <v>#N/A</v>
      </c>
      <c r="K280" s="18" t="e">
        <f>VLOOKUP(C280,[8]PriceList!$C:$D,2,0)</f>
        <v>#N/A</v>
      </c>
    </row>
  </sheetData>
  <autoFilter ref="A1:K280" xr:uid="{E9A8D75B-438B-4EF8-982C-6D16E205BDB3}"/>
  <conditionalFormatting sqref="C1:C1048576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941282-64DA-4033-8900-C629404712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Master</vt:lpstr>
      <vt:lpstr>ProdMast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Balaji</dc:creator>
  <cp:lastModifiedBy>Krishna Balaji</cp:lastModifiedBy>
  <dcterms:created xsi:type="dcterms:W3CDTF">2015-06-05T18:17:20Z</dcterms:created>
  <dcterms:modified xsi:type="dcterms:W3CDTF">2025-11-23T05:35:49Z</dcterms:modified>
</cp:coreProperties>
</file>